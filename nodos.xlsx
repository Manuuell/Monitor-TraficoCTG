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DGAR\Downloads\Sellene Ballesta\PROYCTO1\"/>
    </mc:Choice>
  </mc:AlternateContent>
  <xr:revisionPtr revIDLastSave="0" documentId="8_{D26F116A-E4BB-469D-83FE-9F06176B240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NODOS" sheetId="6" r:id="rId1"/>
    <sheet name="REDES" sheetId="10" r:id="rId2"/>
    <sheet name="CORREDORES" sheetId="11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4" i="10" l="1"/>
  <c r="B87" i="10"/>
  <c r="B55" i="10"/>
  <c r="B37" i="10"/>
  <c r="B24" i="10"/>
  <c r="B42" i="10"/>
  <c r="B61" i="10"/>
  <c r="B2" i="10"/>
  <c r="B44" i="10"/>
  <c r="B22" i="10"/>
  <c r="B3" i="10"/>
  <c r="B4" i="10"/>
  <c r="B5" i="10"/>
  <c r="B6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3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8" i="10"/>
  <c r="B39" i="10"/>
  <c r="B40" i="10"/>
  <c r="B41" i="10"/>
  <c r="B43" i="10"/>
  <c r="B45" i="10"/>
  <c r="B46" i="10"/>
  <c r="B47" i="10"/>
  <c r="B48" i="10"/>
  <c r="B49" i="10"/>
  <c r="B50" i="10"/>
  <c r="B51" i="10"/>
  <c r="B52" i="10"/>
  <c r="B53" i="10"/>
  <c r="B54" i="10"/>
  <c r="B56" i="10"/>
  <c r="B57" i="10"/>
  <c r="B58" i="10"/>
  <c r="B59" i="10"/>
  <c r="B60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8" i="10"/>
  <c r="B89" i="10"/>
  <c r="B90" i="10"/>
  <c r="B91" i="10"/>
  <c r="B92" i="10"/>
  <c r="B93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 a="1"/>
  <c r="B116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<sst xmlns="http://schemas.openxmlformats.org/spreadsheetml/2006/main" count="582" uniqueCount="324">
  <si>
    <t>id_nodo</t>
  </si>
  <si>
    <t>nombre_nodo</t>
  </si>
  <si>
    <t>Centro</t>
  </si>
  <si>
    <t>Bocagrande</t>
  </si>
  <si>
    <t>BAZURTO</t>
  </si>
  <si>
    <t>Barrio/Lugar</t>
  </si>
  <si>
    <t>Corregimiento Bayunca</t>
  </si>
  <si>
    <t>BAY_CTG</t>
  </si>
  <si>
    <t>Bayunca</t>
  </si>
  <si>
    <t xml:space="preserve"> </t>
  </si>
  <si>
    <t>Barcelona de indias</t>
  </si>
  <si>
    <t>RAM_CTG</t>
  </si>
  <si>
    <t>Ramblas</t>
  </si>
  <si>
    <t>Crespo</t>
  </si>
  <si>
    <t>ANI_VIAL</t>
  </si>
  <si>
    <t>Anillo vial</t>
  </si>
  <si>
    <t>AER_CRE</t>
  </si>
  <si>
    <t>Aeropuerto</t>
  </si>
  <si>
    <t>PUE_CANA</t>
  </si>
  <si>
    <t>Puente de canapote</t>
  </si>
  <si>
    <t>TUN_CRE</t>
  </si>
  <si>
    <t>x</t>
  </si>
  <si>
    <t>Tunel de crespo</t>
  </si>
  <si>
    <t xml:space="preserve">Santa Maria </t>
  </si>
  <si>
    <t>CRE_KRA13</t>
  </si>
  <si>
    <t>Kra 13 Calle 70 - crespito</t>
  </si>
  <si>
    <t xml:space="preserve">Marbella </t>
  </si>
  <si>
    <t>DUX_MARBELLA</t>
  </si>
  <si>
    <t>Duplex in Marbella Beach Cartagena</t>
  </si>
  <si>
    <t>San Francisco</t>
  </si>
  <si>
    <t>JA _FRANCISCO</t>
  </si>
  <si>
    <t>JA Carnes San Francisco</t>
  </si>
  <si>
    <t>Santa Rita</t>
  </si>
  <si>
    <t>CLL_54SANRAR</t>
  </si>
  <si>
    <t>Y Calle 54 Santa Rita</t>
  </si>
  <si>
    <t>Daniel Lemaitre</t>
  </si>
  <si>
    <t>PAR_DANLE</t>
  </si>
  <si>
    <t>Parque Daniel Lemaitre</t>
  </si>
  <si>
    <t>Canapote</t>
  </si>
  <si>
    <t>FER_LOMI</t>
  </si>
  <si>
    <t>Ferretería la Lomita de la 62 - Kra 17 Calle 63</t>
  </si>
  <si>
    <t>Pedro Salazar</t>
  </si>
  <si>
    <t>CAÍ_RITA</t>
  </si>
  <si>
    <t>Caí Santa Rita</t>
  </si>
  <si>
    <t xml:space="preserve">Paseo Bolivar </t>
  </si>
  <si>
    <t>WUN_PASEOBOL</t>
  </si>
  <si>
    <t>Western Union - Paseo Bolivar</t>
  </si>
  <si>
    <t>Chambacu</t>
  </si>
  <si>
    <t>MALL_PLAZA</t>
  </si>
  <si>
    <t>Semaforo al mall plaza</t>
  </si>
  <si>
    <t>Espinal</t>
  </si>
  <si>
    <t>ROT_FELIPE</t>
  </si>
  <si>
    <t>Rotonda Castillo de San Felipe</t>
  </si>
  <si>
    <t>Perimetral</t>
  </si>
  <si>
    <t>LET_PERIMETRAL</t>
  </si>
  <si>
    <t>Letras Vía Perimetral</t>
  </si>
  <si>
    <t>ÉXITO_MATUNA</t>
  </si>
  <si>
    <t>Éxito de la matuna</t>
  </si>
  <si>
    <t>LA_INDIA</t>
  </si>
  <si>
    <t>La India Catalina</t>
  </si>
  <si>
    <t>Avenida Santander</t>
  </si>
  <si>
    <t>AVS_SANTD</t>
  </si>
  <si>
    <t>Avenida Santander - Calle 36</t>
  </si>
  <si>
    <t>Getsemani</t>
  </si>
  <si>
    <t>CENTRO_CONV</t>
  </si>
  <si>
    <t>Centro de convenviones</t>
  </si>
  <si>
    <t>LAS_TENAZAS</t>
  </si>
  <si>
    <t>Las tenazas</t>
  </si>
  <si>
    <t>Catillogrande</t>
  </si>
  <si>
    <t>CAS_GRAN</t>
  </si>
  <si>
    <t>Castillogrande  Carrera 14a</t>
  </si>
  <si>
    <t>BOC_HCA</t>
  </si>
  <si>
    <t>Hotel Caribe</t>
  </si>
  <si>
    <t>BOC_SAL</t>
  </si>
  <si>
    <t>Salida de Bocagrande</t>
  </si>
  <si>
    <t>Pie del Cerro</t>
  </si>
  <si>
    <t>CAS_MONACO</t>
  </si>
  <si>
    <t>Casino Monaco</t>
  </si>
  <si>
    <t>Manga</t>
  </si>
  <si>
    <t>MAN_ADU</t>
  </si>
  <si>
    <t>AGEM ADUANA SAS</t>
  </si>
  <si>
    <t>RD_POLICIA</t>
  </si>
  <si>
    <t>Radio Policia Cartagena</t>
  </si>
  <si>
    <t>EL_TREBOL</t>
  </si>
  <si>
    <t>Tienda y Terraza el Nuevo Trébol</t>
  </si>
  <si>
    <t>PAR_ROMÁN</t>
  </si>
  <si>
    <t>Parque Enrique Román</t>
  </si>
  <si>
    <t>Prado</t>
  </si>
  <si>
    <t>ROT_PRADO</t>
  </si>
  <si>
    <t>Rotonda El Prado</t>
  </si>
  <si>
    <t>Vía el lago</t>
  </si>
  <si>
    <t>LAB_REY</t>
  </si>
  <si>
    <t>Laboratorio de Rey</t>
  </si>
  <si>
    <t>Pie de la Popa</t>
  </si>
  <si>
    <t>Bazurto</t>
  </si>
  <si>
    <t>La popa</t>
  </si>
  <si>
    <t>UMA_PEDROH</t>
  </si>
  <si>
    <t>Uma Centro 2032 Av. Pedro Heredia</t>
  </si>
  <si>
    <t>VIA_PER</t>
  </si>
  <si>
    <t>Inicio de via perimetral</t>
  </si>
  <si>
    <t>Villa Olimpica</t>
  </si>
  <si>
    <t>TIE_PUEBLO</t>
  </si>
  <si>
    <t>Tienda el pueblo</t>
  </si>
  <si>
    <t>Esperanza</t>
  </si>
  <si>
    <t>ESQ_COLOR</t>
  </si>
  <si>
    <t>Ferreteria La Esquina Del Color</t>
  </si>
  <si>
    <t xml:space="preserve">Perimetral </t>
  </si>
  <si>
    <t>PER_KRA41</t>
  </si>
  <si>
    <t>Vía Perimetral Kra 41</t>
  </si>
  <si>
    <t>La Maria</t>
  </si>
  <si>
    <t>ZAM_BIENESTAR</t>
  </si>
  <si>
    <t>Zambi Zona de Aprendizaje Múltiple y Bienestar</t>
  </si>
  <si>
    <t>San Bernardo</t>
  </si>
  <si>
    <t>SAN_PUESTOSALUD</t>
  </si>
  <si>
    <t>Puesto De Salud Islote San Bernardo</t>
  </si>
  <si>
    <t>Ceballlo</t>
  </si>
  <si>
    <t>CAI_CEBALLO</t>
  </si>
  <si>
    <t>CAI de ceballos</t>
  </si>
  <si>
    <t>Bosque</t>
  </si>
  <si>
    <t>BOQ_CLL29</t>
  </si>
  <si>
    <t>Bosque - Calle 29</t>
  </si>
  <si>
    <t>ROS_ACC</t>
  </si>
  <si>
    <t>Roscados y Accesorios Del Caribe SAS niples</t>
  </si>
  <si>
    <t>RET_TRAV57&amp;54</t>
  </si>
  <si>
    <t>Retorno Transversal 57 a Transversal 54</t>
  </si>
  <si>
    <t>OULET_BOS</t>
  </si>
  <si>
    <t>Outlet del bosque</t>
  </si>
  <si>
    <t>Alto Bosque</t>
  </si>
  <si>
    <t>PUE_BOSQ</t>
  </si>
  <si>
    <t>Puente peatonal de bosque</t>
  </si>
  <si>
    <t>El Prado</t>
  </si>
  <si>
    <t>RES_ASIA</t>
  </si>
  <si>
    <t>Restaurante Nuevo Asia</t>
  </si>
  <si>
    <t xml:space="preserve">Bosque </t>
  </si>
  <si>
    <t>SAZ_PAISA45</t>
  </si>
  <si>
    <t>Transversal 45 - Sazon Paisa</t>
  </si>
  <si>
    <t>Isla Manzanillo</t>
  </si>
  <si>
    <t>DIS_NAVAL 2</t>
  </si>
  <si>
    <t>Distrito de incorporación Naval 2</t>
  </si>
  <si>
    <t>San Isidro</t>
  </si>
  <si>
    <t>BOG_SANISIDRO</t>
  </si>
  <si>
    <t>El Bodegon de San Isidro</t>
  </si>
  <si>
    <t>Junin</t>
  </si>
  <si>
    <t>JUN_CLL26</t>
  </si>
  <si>
    <t xml:space="preserve">Calle 26 C - Junin </t>
  </si>
  <si>
    <t>Parque Piedra Bolivar</t>
  </si>
  <si>
    <t>PAR_BOLIVAR</t>
  </si>
  <si>
    <t>Cuatro Vientos</t>
  </si>
  <si>
    <t>MUE_CTV</t>
  </si>
  <si>
    <t>Mueble jamar  - Cuatro Viento</t>
  </si>
  <si>
    <t>Los Angeles</t>
  </si>
  <si>
    <t>INT_DESINGCM</t>
  </si>
  <si>
    <t>Integral Design CM</t>
  </si>
  <si>
    <t>María Auxiliadora</t>
  </si>
  <si>
    <t>MRA_AUX</t>
  </si>
  <si>
    <t>Santa Monica</t>
  </si>
  <si>
    <t>SEM_SANMO</t>
  </si>
  <si>
    <t>Semáforo Santa Mónica</t>
  </si>
  <si>
    <t>PLAZUELA</t>
  </si>
  <si>
    <t>La Plazuela</t>
  </si>
  <si>
    <t>El Rubí</t>
  </si>
  <si>
    <t>CAS_PA</t>
  </si>
  <si>
    <t>Castellana parte de atrás</t>
  </si>
  <si>
    <t>El rubí</t>
  </si>
  <si>
    <t>BOMB_KFC</t>
  </si>
  <si>
    <t>KFC-Bomba del amparo</t>
  </si>
  <si>
    <t>El Progreso</t>
  </si>
  <si>
    <t>TIE_PAISA</t>
  </si>
  <si>
    <t>Tienda El Paisa</t>
  </si>
  <si>
    <t>INE_JOSEMC</t>
  </si>
  <si>
    <t>INENBOS - Sede José María Cordoba</t>
  </si>
  <si>
    <t>El Carmelo</t>
  </si>
  <si>
    <t>OUT_CARTGZA</t>
  </si>
  <si>
    <t>Outlet Cartagena Zapatos f</t>
  </si>
  <si>
    <t>Blas de Lezo</t>
  </si>
  <si>
    <t>INS_BOLIVARIANO</t>
  </si>
  <si>
    <t>Instituto Colombo Bolivariano</t>
  </si>
  <si>
    <t>PUE_LEZO</t>
  </si>
  <si>
    <t>Puesto de salud Blaz de lezo</t>
  </si>
  <si>
    <t>Trece de Junio</t>
  </si>
  <si>
    <t>OLIMPICA</t>
  </si>
  <si>
    <t>Trece de junio - Olimpica</t>
  </si>
  <si>
    <t>Los Alpes</t>
  </si>
  <si>
    <t>CAS_GA</t>
  </si>
  <si>
    <t>Casa Cecilia los Alpes - Bomba del gallo/13junio</t>
  </si>
  <si>
    <t xml:space="preserve">Las Gaviotas </t>
  </si>
  <si>
    <t>GAV_TER</t>
  </si>
  <si>
    <t>Las Gaviotas - Terraza Miller</t>
  </si>
  <si>
    <t>Las Gaviotas</t>
  </si>
  <si>
    <t>ENT_GAV</t>
  </si>
  <si>
    <t>Entrada y salida Gaviotas</t>
  </si>
  <si>
    <t>Palmeritas</t>
  </si>
  <si>
    <t>MOT_VILLACAM</t>
  </si>
  <si>
    <t>Motel Villa Campestre</t>
  </si>
  <si>
    <t>Olaya</t>
  </si>
  <si>
    <t>Y_OLAYA</t>
  </si>
  <si>
    <t>Y de Olaya</t>
  </si>
  <si>
    <t>Cuartelillo de Olaya</t>
  </si>
  <si>
    <t>ANT_PC</t>
  </si>
  <si>
    <t>Antigua estación de policia - Cuartelillo</t>
  </si>
  <si>
    <t>Fredonia</t>
  </si>
  <si>
    <t>PUE_FREDO</t>
  </si>
  <si>
    <t>Puente Vehicular Fredonia</t>
  </si>
  <si>
    <t>Chiquinquirá</t>
  </si>
  <si>
    <t>OFC_ALC</t>
  </si>
  <si>
    <t xml:space="preserve">Oficina de la Alcaldía Menor de Cartagena </t>
  </si>
  <si>
    <t>Albronoz</t>
  </si>
  <si>
    <t>CEN_CONTECAR</t>
  </si>
  <si>
    <t xml:space="preserve">Centro de entrenamiento Logístico y portuario Contecar </t>
  </si>
  <si>
    <t>Villa Hermosa</t>
  </si>
  <si>
    <t>DIA_HERMOSA</t>
  </si>
  <si>
    <t xml:space="preserve">Diagonal 28 Villa hermosa </t>
  </si>
  <si>
    <t>Simon Bolivar</t>
  </si>
  <si>
    <t>SUP_BOLIVAR</t>
  </si>
  <si>
    <t xml:space="preserve">Super Giros Simon Bolivar </t>
  </si>
  <si>
    <t>Nelson Mandela</t>
  </si>
  <si>
    <t>ENT_NELSONM</t>
  </si>
  <si>
    <t xml:space="preserve">Entrada a Nelson Mandela  </t>
  </si>
  <si>
    <t>SEN_MARCAS</t>
  </si>
  <si>
    <t xml:space="preserve">Sensato Marcas </t>
  </si>
  <si>
    <t xml:space="preserve">Educador </t>
  </si>
  <si>
    <t>EDU_4CRUCES</t>
  </si>
  <si>
    <t>Los cuatro Cruces - Educador</t>
  </si>
  <si>
    <t>EDU_TIENPUE</t>
  </si>
  <si>
    <t xml:space="preserve">Tienda el Puente - Educador </t>
  </si>
  <si>
    <t>Ciudadela 2000</t>
  </si>
  <si>
    <t>CEN_VIDA2000</t>
  </si>
  <si>
    <t>Centro de Vida Ciudadela 2000</t>
  </si>
  <si>
    <t>Campestre</t>
  </si>
  <si>
    <t>CAMPESTRE</t>
  </si>
  <si>
    <t xml:space="preserve">Campestre </t>
  </si>
  <si>
    <t>20 de Julio</t>
  </si>
  <si>
    <t>ESTPO_20JULIO</t>
  </si>
  <si>
    <t>Vía Mamonal</t>
  </si>
  <si>
    <t>CAR_MAMO</t>
  </si>
  <si>
    <t xml:space="preserve">Carretera Vía Mamonal - Cootrasur </t>
  </si>
  <si>
    <t>Mamonal</t>
  </si>
  <si>
    <t>HOT_OLA</t>
  </si>
  <si>
    <t xml:space="preserve">Hotel Las Olas </t>
  </si>
  <si>
    <t>San Pedro Mártir</t>
  </si>
  <si>
    <t>FER_HERMSALAS</t>
  </si>
  <si>
    <t xml:space="preserve">Ferroelectricos Hermanos Salas </t>
  </si>
  <si>
    <t>La Gloria</t>
  </si>
  <si>
    <t>EFEC_SPMARTIR</t>
  </si>
  <si>
    <t xml:space="preserve">Efecty San Pedro Martir </t>
  </si>
  <si>
    <t>Caracoles</t>
  </si>
  <si>
    <t>INT_CARACOLES</t>
  </si>
  <si>
    <t>Intersección via Caracoles</t>
  </si>
  <si>
    <t>San fernando</t>
  </si>
  <si>
    <t>ARA_SFER</t>
  </si>
  <si>
    <t>Ara San Fernando</t>
  </si>
  <si>
    <t>CAM_FER</t>
  </si>
  <si>
    <t>Caminos I.P.S (San Fernando)</t>
  </si>
  <si>
    <t>San Fernando</t>
  </si>
  <si>
    <t>HOM_CEN</t>
  </si>
  <si>
    <t xml:space="preserve">Home Center - San fernando </t>
  </si>
  <si>
    <t>El Recreo</t>
  </si>
  <si>
    <t>CEM_JAR</t>
  </si>
  <si>
    <t>Cementerio jardines de Cartagena</t>
  </si>
  <si>
    <t>Villagrande 1</t>
  </si>
  <si>
    <t>PAR_VILLAG1</t>
  </si>
  <si>
    <t>Parque Villagrande 1</t>
  </si>
  <si>
    <t>Horizonte</t>
  </si>
  <si>
    <t>ARA_HORIZ</t>
  </si>
  <si>
    <t>Tienda Ara Horizonte</t>
  </si>
  <si>
    <t>Ternera</t>
  </si>
  <si>
    <t>COL_NSFT</t>
  </si>
  <si>
    <t>Colegio Nuestra Señora de Fatima - Ternera</t>
  </si>
  <si>
    <t>San Jose los Campanos</t>
  </si>
  <si>
    <t>ESQ_CALSANJOSE</t>
  </si>
  <si>
    <t>Esquina Caliente San Jose</t>
  </si>
  <si>
    <t>Turbaco</t>
  </si>
  <si>
    <t>GOB_BOL</t>
  </si>
  <si>
    <t>Gobernación de Bolivar</t>
  </si>
  <si>
    <t>Terminal de transporte</t>
  </si>
  <si>
    <t>ROT_GRANMANZA</t>
  </si>
  <si>
    <t>Rotonda La Gran Manzana</t>
  </si>
  <si>
    <t>CDA_SUPTERMI</t>
  </si>
  <si>
    <t>CDA SUPERCARS La termianal</t>
  </si>
  <si>
    <t>ENT_TERMINAL</t>
  </si>
  <si>
    <t>Entrada Terminal de Transporte</t>
  </si>
  <si>
    <t>Parque Heredia</t>
  </si>
  <si>
    <t>PARQ_HEREDIA</t>
  </si>
  <si>
    <t>Parque Heredia - Carolina</t>
  </si>
  <si>
    <t>SAL_AMAR</t>
  </si>
  <si>
    <t>Parque Heredia - Sala de Ventas Amarilo</t>
  </si>
  <si>
    <t>Villa Estrella</t>
  </si>
  <si>
    <t>REC_BONSÁI</t>
  </si>
  <si>
    <t>Restaurante chino. EL BONSÁI CTG</t>
  </si>
  <si>
    <t>Pozón</t>
  </si>
  <si>
    <t>ROT_POZ</t>
  </si>
  <si>
    <t>Rotonda Pozón - Avenida Pedro Romero</t>
  </si>
  <si>
    <t>TIE_NIÑASALOM</t>
  </si>
  <si>
    <t>Tienda La Niña Salomé</t>
  </si>
  <si>
    <t>TIE_ARAPOZO</t>
  </si>
  <si>
    <t>Entrada Pozón Ara</t>
  </si>
  <si>
    <t>Bicentenario</t>
  </si>
  <si>
    <t>ROT_BICE</t>
  </si>
  <si>
    <t>Rotonda Bicentenario</t>
  </si>
  <si>
    <t>GBC_BICE</t>
  </si>
  <si>
    <t>La Gran Bodega De La Construcción</t>
  </si>
  <si>
    <t>SAL_BICE</t>
  </si>
  <si>
    <t>Salida de Bicentenario</t>
  </si>
  <si>
    <t>SUM</t>
  </si>
  <si>
    <t>Olímpica Campestre</t>
  </si>
  <si>
    <t>Can Chow Restaurante</t>
  </si>
  <si>
    <t>Puente pie del cerro</t>
  </si>
  <si>
    <t>Parque pie de la popa Leones</t>
  </si>
  <si>
    <t>Desvio Avenida del Lago</t>
  </si>
  <si>
    <t>DES_LAGO</t>
  </si>
  <si>
    <t>OLI_CAMPESTRE</t>
  </si>
  <si>
    <t>RES_CANCHOW</t>
  </si>
  <si>
    <t>PUE_PIECERRO</t>
  </si>
  <si>
    <t>PAQ_CAI</t>
  </si>
  <si>
    <t>categoria</t>
  </si>
  <si>
    <t>lat</t>
  </si>
  <si>
    <t>lon</t>
  </si>
  <si>
    <t>prioridad</t>
  </si>
  <si>
    <t>activo</t>
  </si>
  <si>
    <t>zona</t>
  </si>
  <si>
    <t>punto_referencia</t>
  </si>
  <si>
    <t>corredor</t>
  </si>
  <si>
    <t>nodo_inicio</t>
  </si>
  <si>
    <t>nodo_fin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</si>
</sst>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"/>
  </numFmts>
  <fonts count="1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0"/>
      <name val="Aptos Narrow"/>
      <family val="2"/>
    </font>
    <font>
      <sz val="11"/>
      <color theme="0"/>
      <name val="Aptos Narrow"/>
      <family val="2"/>
    </font>
    <font>
      <sz val="11"/>
      <color rgb="FF000000"/>
      <name val="Aptos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rgb="FF242424"/>
      <name val="Aptos Narrow"/>
      <family val="2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FFFFFF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3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2575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B892D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C71AB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theme="4" tint="0.79998168889431442"/>
      </patternFill>
    </fill>
    <fill>
      <patternFill patternType="solid">
        <fgColor rgb="FF1F4E79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3" fillId="0" borderId="3" xfId="0" applyFont="1" applyBorder="1"/>
    <xf numFmtId="0" fontId="1" fillId="5" borderId="1" xfId="0" applyFont="1" applyFill="1" applyBorder="1"/>
    <xf numFmtId="0" fontId="0" fillId="4" borderId="1" xfId="0" applyFill="1" applyBorder="1"/>
    <xf numFmtId="0" fontId="1" fillId="0" borderId="6" xfId="0" applyFont="1" applyBorder="1"/>
    <xf numFmtId="0" fontId="1" fillId="7" borderId="1" xfId="0" applyFont="1" applyFill="1" applyBorder="1"/>
    <xf numFmtId="0" fontId="1" fillId="8" borderId="1" xfId="0" applyFont="1" applyFill="1" applyBorder="1"/>
    <xf numFmtId="0" fontId="6" fillId="9" borderId="1" xfId="0" applyFont="1" applyFill="1" applyBorder="1"/>
    <xf numFmtId="0" fontId="1" fillId="10" borderId="1" xfId="0" applyFont="1" applyFill="1" applyBorder="1"/>
    <xf numFmtId="0" fontId="1" fillId="3" borderId="1" xfId="0" applyFont="1" applyFill="1" applyBorder="1"/>
    <xf numFmtId="0" fontId="0" fillId="3" borderId="0" xfId="0" applyFill="1"/>
    <xf numFmtId="0" fontId="6" fillId="8" borderId="1" xfId="0" applyFont="1" applyFill="1" applyBorder="1"/>
    <xf numFmtId="0" fontId="6" fillId="0" borderId="1" xfId="0" applyFont="1" applyBorder="1"/>
    <xf numFmtId="164" fontId="1" fillId="0" borderId="1" xfId="0" applyNumberFormat="1" applyFont="1" applyBorder="1"/>
    <xf numFmtId="164" fontId="1" fillId="0" borderId="1" xfId="0" applyNumberFormat="1" applyFon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164" fontId="7" fillId="0" borderId="1" xfId="0" applyNumberFormat="1" applyFont="1" applyBorder="1"/>
    <xf numFmtId="164" fontId="4" fillId="0" borderId="1" xfId="0" applyNumberFormat="1" applyFont="1" applyBorder="1"/>
    <xf numFmtId="164" fontId="1" fillId="0" borderId="6" xfId="0" applyNumberFormat="1" applyFont="1" applyBorder="1"/>
    <xf numFmtId="164" fontId="6" fillId="0" borderId="6" xfId="0" applyNumberFormat="1" applyFont="1" applyBorder="1" applyAlignment="1">
      <alignment horizontal="right"/>
    </xf>
    <xf numFmtId="0" fontId="1" fillId="0" borderId="7" xfId="0" applyFont="1" applyBorder="1"/>
    <xf numFmtId="164" fontId="0" fillId="0" borderId="0" xfId="0" applyNumberFormat="1"/>
    <xf numFmtId="0" fontId="1" fillId="0" borderId="0" xfId="0" applyFont="1"/>
    <xf numFmtId="164" fontId="6" fillId="0" borderId="1" xfId="0" applyNumberFormat="1" applyFont="1" applyBorder="1"/>
    <xf numFmtId="0" fontId="0" fillId="11" borderId="1" xfId="0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6" fillId="14" borderId="1" xfId="0" applyFont="1" applyFill="1" applyBorder="1"/>
    <xf numFmtId="0" fontId="1" fillId="14" borderId="1" xfId="0" applyFont="1" applyFill="1" applyBorder="1"/>
    <xf numFmtId="0" fontId="0" fillId="6" borderId="1" xfId="0" applyFill="1" applyBorder="1"/>
    <xf numFmtId="0" fontId="6" fillId="15" borderId="1" xfId="0" applyFont="1" applyFill="1" applyBorder="1"/>
    <xf numFmtId="164" fontId="5" fillId="0" borderId="6" xfId="0" applyNumberFormat="1" applyFont="1" applyBorder="1" applyAlignment="1">
      <alignment horizontal="right"/>
    </xf>
    <xf numFmtId="0" fontId="1" fillId="11" borderId="1" xfId="0" applyFont="1" applyFill="1" applyBorder="1"/>
    <xf numFmtId="0" fontId="1" fillId="16" borderId="1" xfId="0" applyFont="1" applyFill="1" applyBorder="1"/>
    <xf numFmtId="0" fontId="1" fillId="17" borderId="1" xfId="0" applyFont="1" applyFill="1" applyBorder="1"/>
    <xf numFmtId="0" fontId="1" fillId="18" borderId="1" xfId="0" applyFont="1" applyFill="1" applyBorder="1"/>
    <xf numFmtId="0" fontId="1" fillId="19" borderId="1" xfId="0" applyFont="1" applyFill="1" applyBorder="1"/>
    <xf numFmtId="0" fontId="1" fillId="20" borderId="1" xfId="0" applyFont="1" applyFill="1" applyBorder="1"/>
    <xf numFmtId="0" fontId="1" fillId="15" borderId="1" xfId="0" applyFont="1" applyFill="1" applyBorder="1"/>
    <xf numFmtId="164" fontId="1" fillId="0" borderId="6" xfId="0" applyNumberFormat="1" applyFont="1" applyBorder="1" applyAlignment="1">
      <alignment horizontal="right"/>
    </xf>
    <xf numFmtId="164" fontId="1" fillId="0" borderId="0" xfId="0" applyNumberFormat="1" applyFont="1"/>
    <xf numFmtId="0" fontId="1" fillId="21" borderId="1" xfId="0" applyFont="1" applyFill="1" applyBorder="1"/>
    <xf numFmtId="0" fontId="0" fillId="0" borderId="1" xfId="0" applyBorder="1"/>
    <xf numFmtId="0" fontId="1" fillId="0" borderId="9" xfId="0" applyFont="1" applyBorder="1"/>
    <xf numFmtId="0" fontId="0" fillId="0" borderId="9" xfId="0" applyBorder="1"/>
    <xf numFmtId="0" fontId="1" fillId="0" borderId="8" xfId="0" applyFont="1" applyBorder="1"/>
    <xf numFmtId="0" fontId="0" fillId="0" borderId="0" xfId="0" applyAlignment="1">
      <alignment horizontal="center"/>
    </xf>
    <xf numFmtId="0" fontId="1" fillId="5" borderId="1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0" fillId="0" borderId="3" xfId="0" applyBorder="1"/>
    <xf numFmtId="0" fontId="1" fillId="22" borderId="6" xfId="0" applyFont="1" applyFill="1" applyBorder="1" applyAlignment="1">
      <alignment horizontal="center"/>
    </xf>
    <xf numFmtId="0" fontId="1" fillId="2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0" fillId="0" borderId="1" xfId="0" applyFont="1" applyBorder="1"/>
    <xf numFmtId="0" fontId="0" fillId="22" borderId="1" xfId="0" applyFill="1" applyBorder="1" applyAlignment="1">
      <alignment horizontal="center"/>
    </xf>
    <xf numFmtId="164" fontId="0" fillId="0" borderId="6" xfId="0" applyNumberFormat="1" applyBorder="1" applyAlignment="1">
      <alignment horizontal="right"/>
    </xf>
    <xf numFmtId="0" fontId="11" fillId="0" borderId="1" xfId="0" applyFont="1" applyBorder="1"/>
    <xf numFmtId="164" fontId="11" fillId="0" borderId="1" xfId="0" applyNumberFormat="1" applyFont="1" applyBorder="1"/>
    <xf numFmtId="0" fontId="9" fillId="5" borderId="1" xfId="0" applyFont="1" applyFill="1" applyBorder="1"/>
    <xf numFmtId="0" fontId="9" fillId="10" borderId="1" xfId="0" applyFont="1" applyFill="1" applyBorder="1"/>
    <xf numFmtId="0" fontId="9" fillId="12" borderId="1" xfId="0" applyFont="1" applyFill="1" applyBorder="1"/>
    <xf numFmtId="0" fontId="9" fillId="19" borderId="1" xfId="0" applyFont="1" applyFill="1" applyBorder="1"/>
    <xf numFmtId="0" fontId="9" fillId="19" borderId="1" xfId="0" applyFont="1" applyFill="1" applyBorder="1" applyAlignment="1">
      <alignment horizontal="left"/>
    </xf>
    <xf numFmtId="0" fontId="9" fillId="14" borderId="1" xfId="0" applyFont="1" applyFill="1" applyBorder="1"/>
    <xf numFmtId="0" fontId="0" fillId="14" borderId="1" xfId="0" applyFill="1" applyBorder="1"/>
    <xf numFmtId="0" fontId="9" fillId="21" borderId="1" xfId="0" applyFont="1" applyFill="1" applyBorder="1"/>
    <xf numFmtId="0" fontId="9" fillId="21" borderId="0" xfId="0" applyFont="1" applyFill="1" applyAlignment="1">
      <alignment horizontal="left"/>
    </xf>
    <xf numFmtId="0" fontId="9" fillId="16" borderId="1" xfId="0" applyFont="1" applyFill="1" applyBorder="1"/>
    <xf numFmtId="0" fontId="9" fillId="11" borderId="1" xfId="0" applyFont="1" applyFill="1" applyBorder="1"/>
    <xf numFmtId="0" fontId="9" fillId="23" borderId="7" xfId="0" applyFont="1" applyFill="1" applyBorder="1"/>
    <xf numFmtId="0" fontId="0" fillId="15" borderId="1" xfId="0" applyFill="1" applyBorder="1"/>
    <xf numFmtId="0" fontId="9" fillId="15" borderId="1" xfId="0" applyFont="1" applyFill="1" applyBorder="1"/>
    <xf numFmtId="0" fontId="9" fillId="8" borderId="1" xfId="0" applyFont="1" applyFill="1" applyBorder="1"/>
    <xf numFmtId="0" fontId="0" fillId="8" borderId="1" xfId="0" applyFill="1" applyBorder="1"/>
    <xf numFmtId="0" fontId="0" fillId="9" borderId="1" xfId="0" applyFill="1" applyBorder="1"/>
    <xf numFmtId="0" fontId="9" fillId="17" borderId="1" xfId="0" applyFont="1" applyFill="1" applyBorder="1"/>
    <xf numFmtId="0" fontId="9" fillId="13" borderId="1" xfId="0" applyFont="1" applyFill="1" applyBorder="1"/>
    <xf numFmtId="0" fontId="9" fillId="13" borderId="1" xfId="0" applyFont="1" applyFill="1" applyBorder="1" applyAlignment="1">
      <alignment horizontal="left"/>
    </xf>
    <xf numFmtId="0" fontId="9" fillId="20" borderId="1" xfId="0" applyFont="1" applyFill="1" applyBorder="1"/>
    <xf numFmtId="0" fontId="9" fillId="7" borderId="1" xfId="0" applyFont="1" applyFill="1" applyBorder="1"/>
    <xf numFmtId="0" fontId="9" fillId="3" borderId="1" xfId="0" applyFont="1" applyFill="1" applyBorder="1"/>
    <xf numFmtId="0" fontId="9" fillId="18" borderId="1" xfId="0" applyFont="1" applyFill="1" applyBorder="1"/>
    <xf numFmtId="0" fontId="9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9" fillId="10" borderId="9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/>
    </xf>
    <xf numFmtId="0" fontId="9" fillId="19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9" fillId="14" borderId="1" xfId="0" applyFon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9" fillId="21" borderId="9" xfId="0" applyFont="1" applyFill="1" applyBorder="1" applyAlignment="1">
      <alignment horizontal="center"/>
    </xf>
    <xf numFmtId="0" fontId="9" fillId="21" borderId="1" xfId="0" applyFont="1" applyFill="1" applyBorder="1" applyAlignment="1">
      <alignment horizontal="center"/>
    </xf>
    <xf numFmtId="0" fontId="9" fillId="21" borderId="0" xfId="0" applyFont="1" applyFill="1" applyAlignment="1">
      <alignment horizontal="center"/>
    </xf>
    <xf numFmtId="0" fontId="9" fillId="16" borderId="9" xfId="0" applyFont="1" applyFill="1" applyBorder="1" applyAlignment="1">
      <alignment horizontal="center"/>
    </xf>
    <xf numFmtId="0" fontId="9" fillId="16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9" fillId="15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9" fillId="8" borderId="8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9" fillId="17" borderId="1" xfId="0" applyFont="1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0" fontId="9" fillId="13" borderId="2" xfId="0" applyFont="1" applyFill="1" applyBorder="1" applyAlignment="1">
      <alignment horizontal="center"/>
    </xf>
    <xf numFmtId="0" fontId="9" fillId="13" borderId="12" xfId="0" applyFont="1" applyFill="1" applyBorder="1" applyAlignment="1">
      <alignment horizontal="center"/>
    </xf>
    <xf numFmtId="0" fontId="9" fillId="20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9" fillId="7" borderId="9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9" fillId="18" borderId="1" xfId="0" applyFont="1" applyFill="1" applyBorder="1" applyAlignment="1">
      <alignment horizontal="center"/>
    </xf>
    <xf numFmtId="0" fontId="9" fillId="18" borderId="8" xfId="0" applyFont="1" applyFill="1" applyBorder="1" applyAlignment="1">
      <alignment horizontal="center"/>
    </xf>
    <xf numFmtId="0" fontId="9" fillId="18" borderId="10" xfId="0" applyFont="1" applyFill="1" applyBorder="1" applyAlignment="1">
      <alignment horizontal="center"/>
    </xf>
    <xf numFmtId="0" fontId="9" fillId="0" borderId="1" xfId="0" applyFont="1" applyBorder="1"/>
    <xf numFmtId="0" fontId="9" fillId="0" borderId="3" xfId="0" applyFont="1" applyBorder="1"/>
    <xf numFmtId="0" fontId="9" fillId="0" borderId="5" xfId="0" applyFont="1" applyBorder="1"/>
    <xf numFmtId="0" fontId="6" fillId="15" borderId="6" xfId="0" applyFont="1" applyFill="1" applyBorder="1"/>
    <xf numFmtId="0" fontId="1" fillId="8" borderId="6" xfId="0" applyFont="1" applyFill="1" applyBorder="1"/>
    <xf numFmtId="0" fontId="1" fillId="3" borderId="6" xfId="0" applyFont="1" applyFill="1" applyBorder="1"/>
    <xf numFmtId="0" fontId="1" fillId="18" borderId="6" xfId="0" applyFont="1" applyFill="1" applyBorder="1"/>
    <xf numFmtId="0" fontId="12" fillId="24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/>
    </xf>
  </cellXfs>
  <cellStyles count="1">
    <cellStyle name="Normal" xfId="0" builtinId="0"/>
  </cellStyles>
  <dxfs count="1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0.0000000000000"/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0.0000000000000"/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fill>
        <patternFill patternType="solid">
          <fgColor rgb="FF000000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C71AB0"/>
      <color rgb="FF92CDDC"/>
      <color rgb="FFB892D6"/>
      <color rgb="FFFFCCCC"/>
      <color rgb="FFFFFFCC"/>
      <color rgb="FFCCFFFF"/>
      <color rgb="FFFFC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Relationship Id="rId12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281AA3-92FB-46CD-B16B-845A78BACC4C}" name="Tabla13" displayName="Tabla13" ref="A1:J114" totalsRowShown="0" headerRowDxfId="17" dataDxfId="15" headerRowBorderDxfId="16" tableBorderDxfId="14" totalsRowBorderDxfId="13">
  <autoFilter ref="A1:J114" xr:uid="{FCBC928E-32C8-4A8F-8DEB-FFD71FD1C323}"/>
  <tableColumns count="10">
    <tableColumn id="11" xr3:uid="{C0559A8D-1074-4FF2-A489-ACB56B15BCF7}" name="Barrio/Lugar" dataDxfId="12"/>
    <tableColumn id="1" xr3:uid="{4B2DE784-53E4-4B52-BF1E-C3EA335517EC}" name="id_nodo" dataDxfId="11"/>
    <tableColumn id="2" xr3:uid="{18C50571-A6FA-41D4-AA6F-CCA6903FBDC1}" name="nombre_nodo" dataDxfId="10"/>
    <tableColumn id="3" xr3:uid="{ABB12F07-2899-4432-B95A-247DD6EC1AE8}" name="categoria" dataDxfId="9"/>
    <tableColumn id="4" xr3:uid="{EEE09701-2284-4D2B-8646-F964547DDCCD}" name="lat" dataDxfId="8"/>
    <tableColumn id="5" xr3:uid="{3E544A17-E39A-4E8F-81FA-B35F1FE70087}" name="lon" dataDxfId="7"/>
    <tableColumn id="6" xr3:uid="{C5B8527A-C649-45B1-A9D5-8ADA47979D59}" name="prioridad" dataDxfId="6"/>
    <tableColumn id="7" xr3:uid="{F4B01451-3F36-40AA-8FB2-6C36D67F2AA7}" name="activo" dataDxfId="5"/>
    <tableColumn id="8" xr3:uid="{F566622B-0279-44B9-B8E0-5F14272A60CF}" name="zona" dataDxfId="4"/>
    <tableColumn id="12" xr3:uid="{74EA24AF-9F87-47BE-A11C-49B4FB8D75CE}" name="punto_referencia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719AD-1D60-4735-B95C-2500F33039E1}">
  <dimension ref="A1:AY141"/>
  <sheetViews>
    <sheetView tabSelected="1" zoomScale="60" zoomScaleNormal="115" workbookViewId="0">
      <selection activeCell="L14" sqref="L14"/>
    </sheetView>
  </sheetViews>
  <sheetFormatPr baseColWidth="10" defaultColWidth="11.42578125" defaultRowHeight="15" x14ac:dyDescent="0.25"/>
  <cols>
    <col min="1" max="1" width="23" customWidth="1"/>
    <col min="2" max="2" width="19.5703125" bestFit="1" customWidth="1"/>
    <col min="3" max="3" width="50.5703125" bestFit="1" customWidth="1"/>
    <col min="4" max="4" width="19.7109375" style="25" bestFit="1" customWidth="1"/>
    <col min="5" max="5" width="20.28515625" style="25" bestFit="1" customWidth="1"/>
    <col min="6" max="6" width="19.140625" bestFit="1" customWidth="1"/>
    <col min="10" max="10" width="34" customWidth="1"/>
  </cols>
  <sheetData>
    <row r="1" spans="1:51" x14ac:dyDescent="0.25">
      <c r="A1" s="3" t="s">
        <v>5</v>
      </c>
      <c r="B1" s="131" t="s">
        <v>0</v>
      </c>
      <c r="C1" s="131" t="s">
        <v>1</v>
      </c>
      <c r="D1" s="131" t="s">
        <v>314</v>
      </c>
      <c r="E1" s="131" t="s">
        <v>315</v>
      </c>
      <c r="F1" s="131" t="s">
        <v>316</v>
      </c>
      <c r="G1" s="132" t="s">
        <v>317</v>
      </c>
      <c r="H1" s="132" t="s">
        <v>318</v>
      </c>
      <c r="I1" s="132" t="s">
        <v>319</v>
      </c>
      <c r="J1" s="132" t="s">
        <v>320</v>
      </c>
    </row>
    <row r="2" spans="1:51" x14ac:dyDescent="0.25">
      <c r="A2" s="1" t="s">
        <v>6</v>
      </c>
      <c r="B2" s="124" t="s">
        <v>7</v>
      </c>
      <c r="C2" s="4" t="s">
        <v>8</v>
      </c>
      <c r="D2" s="4"/>
      <c r="E2" s="17">
        <v>10.522399459788501</v>
      </c>
      <c r="F2" s="17">
        <v>-75.4002028817129</v>
      </c>
      <c r="G2" s="26"/>
      <c r="H2" s="26"/>
      <c r="I2" s="26"/>
    </row>
    <row r="3" spans="1:51" x14ac:dyDescent="0.25">
      <c r="A3" s="1" t="s">
        <v>10</v>
      </c>
      <c r="B3" s="124" t="s">
        <v>11</v>
      </c>
      <c r="C3" s="4" t="s">
        <v>12</v>
      </c>
      <c r="D3" s="4"/>
      <c r="E3" s="17">
        <v>10.523567081623099</v>
      </c>
      <c r="F3" s="17">
        <v>-75.465149961076705</v>
      </c>
      <c r="G3" s="26"/>
      <c r="H3" s="26"/>
      <c r="I3" s="26"/>
    </row>
    <row r="4" spans="1:51" x14ac:dyDescent="0.25">
      <c r="A4" s="1" t="s">
        <v>13</v>
      </c>
      <c r="B4" s="124" t="s">
        <v>14</v>
      </c>
      <c r="C4" s="33" t="s">
        <v>15</v>
      </c>
      <c r="D4" s="33"/>
      <c r="E4" s="17">
        <v>10.457035680851201</v>
      </c>
      <c r="F4" s="17">
        <v>-75.510120146040293</v>
      </c>
      <c r="G4" s="26"/>
      <c r="H4" s="26"/>
      <c r="I4" s="26"/>
    </row>
    <row r="5" spans="1:51" x14ac:dyDescent="0.25">
      <c r="A5" s="1" t="s">
        <v>13</v>
      </c>
      <c r="B5" s="124" t="s">
        <v>16</v>
      </c>
      <c r="C5" s="33" t="s">
        <v>17</v>
      </c>
      <c r="D5" s="33"/>
      <c r="E5" s="17">
        <v>10.4454527166532</v>
      </c>
      <c r="F5" s="17">
        <v>-75.517668248279506</v>
      </c>
      <c r="G5" s="26"/>
      <c r="H5" s="26"/>
      <c r="I5" s="26"/>
    </row>
    <row r="6" spans="1:51" x14ac:dyDescent="0.25">
      <c r="A6" s="1" t="s">
        <v>13</v>
      </c>
      <c r="B6" s="124" t="s">
        <v>18</v>
      </c>
      <c r="C6" s="33" t="s">
        <v>19</v>
      </c>
      <c r="D6" s="33"/>
      <c r="E6" s="17">
        <v>10.4418795213185</v>
      </c>
      <c r="F6" s="17">
        <v>-75.525534613102593</v>
      </c>
      <c r="G6" s="26"/>
      <c r="H6" s="26"/>
      <c r="I6" s="26"/>
    </row>
    <row r="7" spans="1:51" x14ac:dyDescent="0.25">
      <c r="A7" s="1" t="s">
        <v>13</v>
      </c>
      <c r="B7" s="124" t="s">
        <v>20</v>
      </c>
      <c r="C7" s="33" t="s">
        <v>22</v>
      </c>
      <c r="D7" s="33"/>
      <c r="E7" s="17">
        <v>10.441842447159001</v>
      </c>
      <c r="F7" s="17">
        <v>-75.528470149806196</v>
      </c>
      <c r="G7" s="26"/>
      <c r="H7" s="26"/>
      <c r="I7" s="26"/>
    </row>
    <row r="8" spans="1:51" x14ac:dyDescent="0.25">
      <c r="A8" s="1" t="s">
        <v>23</v>
      </c>
      <c r="B8" s="124" t="s">
        <v>24</v>
      </c>
      <c r="C8" s="33" t="s">
        <v>25</v>
      </c>
      <c r="D8" s="33"/>
      <c r="E8" s="15">
        <v>10.4424258611608</v>
      </c>
      <c r="F8" s="15">
        <v>-75.518684050728098</v>
      </c>
      <c r="G8" s="26"/>
      <c r="H8" s="26"/>
      <c r="I8" s="26"/>
    </row>
    <row r="9" spans="1:51" x14ac:dyDescent="0.25">
      <c r="A9" s="1" t="s">
        <v>26</v>
      </c>
      <c r="B9" s="124" t="s">
        <v>27</v>
      </c>
      <c r="C9" s="33" t="s">
        <v>28</v>
      </c>
      <c r="D9" s="33"/>
      <c r="E9" s="16">
        <v>10.4357200272641</v>
      </c>
      <c r="F9" s="16">
        <v>-75.536094806535104</v>
      </c>
      <c r="G9" s="26"/>
      <c r="H9" s="26"/>
      <c r="I9" s="26"/>
    </row>
    <row r="10" spans="1:51" x14ac:dyDescent="0.25">
      <c r="A10" s="1" t="s">
        <v>29</v>
      </c>
      <c r="B10" s="124" t="s">
        <v>30</v>
      </c>
      <c r="C10" s="10" t="s">
        <v>31</v>
      </c>
      <c r="D10" s="10"/>
      <c r="E10" s="15">
        <v>10.436772913037601</v>
      </c>
      <c r="F10" s="15">
        <v>-75.515156143648497</v>
      </c>
      <c r="G10" s="26"/>
      <c r="H10" s="26"/>
      <c r="I10" s="26"/>
    </row>
    <row r="11" spans="1:51" s="12" customFormat="1" x14ac:dyDescent="0.25">
      <c r="A11" s="1" t="s">
        <v>32</v>
      </c>
      <c r="B11" s="125" t="s">
        <v>33</v>
      </c>
      <c r="C11" s="10" t="s">
        <v>34</v>
      </c>
      <c r="D11" s="10"/>
      <c r="E11" s="15">
        <v>10.434741723438799</v>
      </c>
      <c r="F11" s="15">
        <v>-75.525004709766506</v>
      </c>
      <c r="G11" s="26"/>
      <c r="H11" s="26"/>
      <c r="I11" s="26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1" x14ac:dyDescent="0.25">
      <c r="A12" s="1" t="s">
        <v>35</v>
      </c>
      <c r="B12" s="124" t="s">
        <v>36</v>
      </c>
      <c r="C12" s="10" t="s">
        <v>37</v>
      </c>
      <c r="D12" s="10"/>
      <c r="E12" s="15">
        <v>10.437509303840301</v>
      </c>
      <c r="F12" s="15">
        <v>-75.521004412218304</v>
      </c>
      <c r="G12" s="26"/>
      <c r="H12" s="26"/>
      <c r="I12" s="26"/>
    </row>
    <row r="13" spans="1:51" s="12" customFormat="1" x14ac:dyDescent="0.25">
      <c r="A13" s="1" t="s">
        <v>38</v>
      </c>
      <c r="B13" s="125" t="s">
        <v>39</v>
      </c>
      <c r="C13" s="10" t="s">
        <v>40</v>
      </c>
      <c r="D13" s="10"/>
      <c r="E13" s="15">
        <v>10.4376607865689</v>
      </c>
      <c r="F13" s="15">
        <v>-75.524273451368302</v>
      </c>
      <c r="G13" s="26"/>
      <c r="H13" s="26"/>
      <c r="I13" s="26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</row>
    <row r="14" spans="1:51" s="12" customFormat="1" x14ac:dyDescent="0.25">
      <c r="A14" s="1" t="s">
        <v>41</v>
      </c>
      <c r="B14" s="125" t="s">
        <v>42</v>
      </c>
      <c r="C14" s="10" t="s">
        <v>43</v>
      </c>
      <c r="D14" s="10"/>
      <c r="E14" s="21">
        <v>10.4356421305017</v>
      </c>
      <c r="F14" s="15">
        <v>-75.528283783726707</v>
      </c>
      <c r="G14" s="26"/>
      <c r="H14" s="26"/>
      <c r="I14" s="26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</row>
    <row r="15" spans="1:51" s="12" customFormat="1" x14ac:dyDescent="0.25">
      <c r="A15" s="1" t="s">
        <v>44</v>
      </c>
      <c r="B15" s="125" t="s">
        <v>45</v>
      </c>
      <c r="C15" s="10" t="s">
        <v>46</v>
      </c>
      <c r="D15" s="10"/>
      <c r="E15" s="16">
        <v>10.429376343264</v>
      </c>
      <c r="F15" s="16">
        <v>-75.534237468837404</v>
      </c>
      <c r="G15" s="26"/>
      <c r="H15" s="26"/>
      <c r="I15" s="26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</row>
    <row r="16" spans="1:51" s="12" customFormat="1" x14ac:dyDescent="0.25">
      <c r="A16" s="1" t="s">
        <v>47</v>
      </c>
      <c r="B16" s="125" t="s">
        <v>48</v>
      </c>
      <c r="C16" s="10" t="s">
        <v>49</v>
      </c>
      <c r="D16" s="10"/>
      <c r="E16" s="15">
        <v>10.4293776548182</v>
      </c>
      <c r="F16" s="15">
        <v>-75.537471528543605</v>
      </c>
      <c r="G16" s="26"/>
      <c r="H16" s="26"/>
      <c r="I16" s="2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</row>
    <row r="17" spans="1:51" x14ac:dyDescent="0.25">
      <c r="A17" s="1" t="s">
        <v>50</v>
      </c>
      <c r="B17" s="124" t="s">
        <v>51</v>
      </c>
      <c r="C17" s="10" t="s">
        <v>52</v>
      </c>
      <c r="D17" s="10"/>
      <c r="E17" s="15">
        <v>10.424717819221099</v>
      </c>
      <c r="F17" s="15">
        <v>-75.538657079752596</v>
      </c>
      <c r="G17" s="26"/>
      <c r="H17" s="26"/>
      <c r="I17" s="26"/>
    </row>
    <row r="18" spans="1:51" x14ac:dyDescent="0.25">
      <c r="A18" s="1" t="s">
        <v>53</v>
      </c>
      <c r="B18" s="124" t="s">
        <v>54</v>
      </c>
      <c r="C18" s="10" t="s">
        <v>55</v>
      </c>
      <c r="D18" s="10"/>
      <c r="E18" s="15">
        <v>10.428200302202001</v>
      </c>
      <c r="F18" s="15">
        <v>-75.514344500646203</v>
      </c>
      <c r="G18" s="26"/>
      <c r="H18" s="26"/>
      <c r="I18" s="26"/>
    </row>
    <row r="19" spans="1:51" x14ac:dyDescent="0.25">
      <c r="A19" s="1" t="s">
        <v>2</v>
      </c>
      <c r="B19" s="124" t="s">
        <v>56</v>
      </c>
      <c r="C19" s="29" t="s">
        <v>57</v>
      </c>
      <c r="D19" s="29"/>
      <c r="E19" s="15">
        <v>10.425206491757899</v>
      </c>
      <c r="F19" s="15">
        <v>-75.548695245760001</v>
      </c>
      <c r="G19" s="26"/>
      <c r="H19" s="26"/>
      <c r="I19" s="26"/>
    </row>
    <row r="20" spans="1:51" x14ac:dyDescent="0.25">
      <c r="A20" s="1" t="s">
        <v>2</v>
      </c>
      <c r="B20" s="124" t="s">
        <v>58</v>
      </c>
      <c r="C20" s="29" t="s">
        <v>59</v>
      </c>
      <c r="D20" s="29"/>
      <c r="E20" s="15">
        <v>10.4269090876442</v>
      </c>
      <c r="F20" s="15">
        <v>-75.544065305727699</v>
      </c>
      <c r="G20" s="26"/>
      <c r="H20" s="26"/>
      <c r="I20" s="26"/>
    </row>
    <row r="21" spans="1:51" x14ac:dyDescent="0.25">
      <c r="A21" s="1" t="s">
        <v>60</v>
      </c>
      <c r="B21" s="124" t="s">
        <v>61</v>
      </c>
      <c r="C21" s="29" t="s">
        <v>62</v>
      </c>
      <c r="D21" s="29"/>
      <c r="E21" s="16">
        <v>10.425032414182301</v>
      </c>
      <c r="F21" s="16">
        <v>-75.554143459998897</v>
      </c>
      <c r="G21" s="26"/>
      <c r="H21" s="26"/>
      <c r="I21" s="26"/>
    </row>
    <row r="22" spans="1:51" x14ac:dyDescent="0.25">
      <c r="A22" s="1" t="s">
        <v>63</v>
      </c>
      <c r="B22" s="124" t="s">
        <v>64</v>
      </c>
      <c r="C22" s="29" t="s">
        <v>65</v>
      </c>
      <c r="D22" s="29"/>
      <c r="E22" s="15">
        <v>10.4210878819106</v>
      </c>
      <c r="F22" s="15">
        <v>-75.548365551325006</v>
      </c>
      <c r="G22" s="26"/>
      <c r="H22" s="26"/>
      <c r="I22" s="26"/>
    </row>
    <row r="23" spans="1:51" s="12" customFormat="1" x14ac:dyDescent="0.25">
      <c r="A23" s="1" t="s">
        <v>2</v>
      </c>
      <c r="B23" s="124" t="s">
        <v>66</v>
      </c>
      <c r="C23" s="40" t="s">
        <v>67</v>
      </c>
      <c r="D23" s="40"/>
      <c r="E23" s="15">
        <v>10.4317630580121</v>
      </c>
      <c r="F23" s="44">
        <v>-75.545438935411795</v>
      </c>
      <c r="G23" s="26"/>
      <c r="H23" s="26"/>
      <c r="I23" s="26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</row>
    <row r="24" spans="1:51" x14ac:dyDescent="0.25">
      <c r="A24" s="1" t="s">
        <v>78</v>
      </c>
      <c r="B24" s="124" t="s">
        <v>312</v>
      </c>
      <c r="C24" s="40" t="s">
        <v>306</v>
      </c>
      <c r="D24" s="40"/>
      <c r="E24" s="15">
        <v>10.4227525220902</v>
      </c>
      <c r="F24" s="15">
        <v>-75.543674475132505</v>
      </c>
      <c r="G24" s="26"/>
      <c r="H24" s="26"/>
      <c r="I24" s="26"/>
    </row>
    <row r="25" spans="1:51" x14ac:dyDescent="0.25">
      <c r="A25" s="1" t="s">
        <v>68</v>
      </c>
      <c r="B25" s="124" t="s">
        <v>69</v>
      </c>
      <c r="C25" s="5" t="s">
        <v>70</v>
      </c>
      <c r="D25" s="5"/>
      <c r="E25" s="16">
        <v>10.3918220661301</v>
      </c>
      <c r="F25" s="16">
        <v>-75.546624781024704</v>
      </c>
      <c r="G25" s="26"/>
      <c r="H25" s="26"/>
      <c r="I25" s="26"/>
    </row>
    <row r="26" spans="1:51" x14ac:dyDescent="0.25">
      <c r="A26" s="1" t="s">
        <v>3</v>
      </c>
      <c r="B26" s="124" t="s">
        <v>71</v>
      </c>
      <c r="C26" s="5" t="s">
        <v>72</v>
      </c>
      <c r="D26" s="5"/>
      <c r="E26" s="18">
        <v>10.398551786565401</v>
      </c>
      <c r="F26" s="18">
        <v>-75.560285644909698</v>
      </c>
      <c r="G26" s="26"/>
      <c r="H26" s="26"/>
      <c r="I26" s="26"/>
    </row>
    <row r="27" spans="1:51" x14ac:dyDescent="0.25">
      <c r="A27" s="1" t="s">
        <v>3</v>
      </c>
      <c r="B27" s="124" t="s">
        <v>73</v>
      </c>
      <c r="C27" s="5" t="s">
        <v>74</v>
      </c>
      <c r="D27" s="5"/>
      <c r="E27" s="18">
        <v>10.4178541583598</v>
      </c>
      <c r="F27" s="18">
        <v>-75.551818557946405</v>
      </c>
      <c r="G27" s="26"/>
      <c r="H27" s="26"/>
      <c r="I27" s="26"/>
    </row>
    <row r="28" spans="1:51" x14ac:dyDescent="0.25">
      <c r="A28" s="1" t="s">
        <v>75</v>
      </c>
      <c r="B28" s="124" t="s">
        <v>76</v>
      </c>
      <c r="C28" s="32" t="s">
        <v>77</v>
      </c>
      <c r="D28" s="32"/>
      <c r="E28" s="15">
        <v>10.4200026131198</v>
      </c>
      <c r="F28" s="15">
        <v>-75.540711261750005</v>
      </c>
      <c r="G28" s="26"/>
      <c r="H28" s="26"/>
      <c r="I28" s="26"/>
    </row>
    <row r="29" spans="1:51" x14ac:dyDescent="0.25">
      <c r="A29" s="1" t="s">
        <v>78</v>
      </c>
      <c r="B29" s="124" t="s">
        <v>79</v>
      </c>
      <c r="C29" s="31" t="s">
        <v>80</v>
      </c>
      <c r="D29" s="31"/>
      <c r="E29" s="17">
        <v>10.407312071685499</v>
      </c>
      <c r="F29" s="17">
        <v>-75.528613296971002</v>
      </c>
      <c r="G29" s="26"/>
      <c r="H29" s="26"/>
      <c r="I29" s="26"/>
    </row>
    <row r="30" spans="1:51" x14ac:dyDescent="0.25">
      <c r="A30" s="1" t="s">
        <v>78</v>
      </c>
      <c r="B30" s="124" t="s">
        <v>81</v>
      </c>
      <c r="C30" s="32" t="s">
        <v>82</v>
      </c>
      <c r="D30" s="32"/>
      <c r="E30" s="15">
        <v>10.4090965000978</v>
      </c>
      <c r="F30" s="15">
        <v>-75.537512337042998</v>
      </c>
      <c r="G30" s="26"/>
      <c r="H30" s="26"/>
      <c r="I30" s="26"/>
    </row>
    <row r="31" spans="1:51" x14ac:dyDescent="0.25">
      <c r="A31" s="1" t="s">
        <v>78</v>
      </c>
      <c r="B31" s="124" t="s">
        <v>83</v>
      </c>
      <c r="C31" s="32" t="s">
        <v>84</v>
      </c>
      <c r="D31" s="32"/>
      <c r="E31" s="15">
        <v>10.4133101276133</v>
      </c>
      <c r="F31" s="15">
        <v>-75.533835579601401</v>
      </c>
      <c r="G31" s="26"/>
      <c r="H31" s="26"/>
      <c r="I31" s="26"/>
    </row>
    <row r="32" spans="1:51" x14ac:dyDescent="0.25">
      <c r="A32" s="1" t="s">
        <v>78</v>
      </c>
      <c r="B32" s="124" t="s">
        <v>85</v>
      </c>
      <c r="C32" s="32" t="s">
        <v>86</v>
      </c>
      <c r="D32" s="32"/>
      <c r="E32" s="21">
        <v>10.416986894528799</v>
      </c>
      <c r="F32" s="15">
        <v>-75.543981409205401</v>
      </c>
      <c r="G32" s="26"/>
      <c r="H32" s="26"/>
      <c r="I32" s="26"/>
    </row>
    <row r="33" spans="1:51" x14ac:dyDescent="0.25">
      <c r="A33" s="1" t="s">
        <v>87</v>
      </c>
      <c r="B33" s="124" t="s">
        <v>88</v>
      </c>
      <c r="C33" s="45" t="s">
        <v>89</v>
      </c>
      <c r="D33" s="45"/>
      <c r="E33" s="15">
        <v>10.412292027932001</v>
      </c>
      <c r="F33" s="15">
        <v>-75.521373693960896</v>
      </c>
      <c r="G33" s="26"/>
      <c r="H33" s="26"/>
      <c r="I33" s="26"/>
    </row>
    <row r="34" spans="1:51" x14ac:dyDescent="0.25">
      <c r="A34" s="1" t="s">
        <v>90</v>
      </c>
      <c r="B34" s="124" t="s">
        <v>91</v>
      </c>
      <c r="C34" s="45" t="s">
        <v>92</v>
      </c>
      <c r="D34" s="45"/>
      <c r="E34" s="15">
        <v>10.414828525758701</v>
      </c>
      <c r="F34" s="15">
        <v>-75.531847459956595</v>
      </c>
      <c r="G34" s="26"/>
      <c r="H34" s="26"/>
      <c r="I34" s="26"/>
    </row>
    <row r="35" spans="1:51" x14ac:dyDescent="0.25">
      <c r="A35" s="1" t="s">
        <v>93</v>
      </c>
      <c r="B35" s="125" t="s">
        <v>4</v>
      </c>
      <c r="C35" s="45" t="s">
        <v>94</v>
      </c>
      <c r="D35" s="45"/>
      <c r="E35" s="15">
        <v>10.415485069710799</v>
      </c>
      <c r="F35" s="15">
        <v>-75.526750228449004</v>
      </c>
      <c r="G35" s="26"/>
      <c r="H35" s="26"/>
      <c r="I35" s="26"/>
    </row>
    <row r="36" spans="1:51" x14ac:dyDescent="0.25">
      <c r="A36" s="1" t="s">
        <v>95</v>
      </c>
      <c r="B36" s="124" t="s">
        <v>96</v>
      </c>
      <c r="C36" s="45" t="s">
        <v>97</v>
      </c>
      <c r="D36" s="45"/>
      <c r="E36" s="16">
        <v>10.419866947405801</v>
      </c>
      <c r="F36" s="15">
        <v>-75.530472923963998</v>
      </c>
      <c r="G36" s="26"/>
      <c r="H36" s="26"/>
      <c r="I36" s="26"/>
    </row>
    <row r="37" spans="1:51" x14ac:dyDescent="0.25">
      <c r="A37" s="1" t="s">
        <v>93</v>
      </c>
      <c r="B37" s="124" t="s">
        <v>313</v>
      </c>
      <c r="C37" s="45" t="s">
        <v>307</v>
      </c>
      <c r="D37" s="45"/>
      <c r="E37" s="15">
        <v>10.4205153204647</v>
      </c>
      <c r="F37" s="15">
        <v>-75.533508772333306</v>
      </c>
      <c r="G37" s="26"/>
      <c r="H37" s="26"/>
      <c r="I37" s="26"/>
    </row>
    <row r="38" spans="1:51" s="12" customFormat="1" x14ac:dyDescent="0.25">
      <c r="A38" s="1" t="s">
        <v>53</v>
      </c>
      <c r="B38" s="125" t="s">
        <v>98</v>
      </c>
      <c r="C38" s="37" t="s">
        <v>99</v>
      </c>
      <c r="D38" s="37"/>
      <c r="E38" s="18">
        <v>10.414602999426901</v>
      </c>
      <c r="F38" s="18">
        <v>-75.496584906749902</v>
      </c>
      <c r="G38" s="26"/>
      <c r="H38" s="26"/>
      <c r="I38" s="26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</row>
    <row r="39" spans="1:51" s="12" customFormat="1" x14ac:dyDescent="0.25">
      <c r="A39" s="1" t="s">
        <v>100</v>
      </c>
      <c r="B39" s="124" t="s">
        <v>101</v>
      </c>
      <c r="C39" s="37" t="s">
        <v>102</v>
      </c>
      <c r="D39" s="37"/>
      <c r="E39" s="18">
        <v>10.407630715607</v>
      </c>
      <c r="F39" s="15">
        <v>-75.496740618362793</v>
      </c>
      <c r="G39" s="26"/>
      <c r="H39" s="26"/>
      <c r="I39" s="26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</row>
    <row r="40" spans="1:51" s="12" customFormat="1" x14ac:dyDescent="0.25">
      <c r="A40" s="1" t="s">
        <v>103</v>
      </c>
      <c r="B40" s="125" t="s">
        <v>104</v>
      </c>
      <c r="C40" s="37" t="s">
        <v>105</v>
      </c>
      <c r="D40" s="37"/>
      <c r="E40" s="18">
        <v>10.414670227357</v>
      </c>
      <c r="F40" s="18">
        <v>-75.518032002184995</v>
      </c>
      <c r="G40" s="26"/>
      <c r="H40" s="26"/>
      <c r="I40" s="26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</row>
    <row r="41" spans="1:51" x14ac:dyDescent="0.25">
      <c r="A41" s="1" t="s">
        <v>106</v>
      </c>
      <c r="B41" s="124" t="s">
        <v>107</v>
      </c>
      <c r="C41" s="37" t="s">
        <v>108</v>
      </c>
      <c r="D41" s="37"/>
      <c r="E41" s="15">
        <v>10.415677657924</v>
      </c>
      <c r="F41" s="15">
        <v>-75.510952997418897</v>
      </c>
      <c r="G41" s="26"/>
      <c r="H41" s="26"/>
      <c r="I41" s="26"/>
    </row>
    <row r="42" spans="1:51" x14ac:dyDescent="0.25">
      <c r="A42" s="1" t="s">
        <v>109</v>
      </c>
      <c r="B42" s="124" t="s">
        <v>110</v>
      </c>
      <c r="C42" s="37" t="s">
        <v>111</v>
      </c>
      <c r="D42" s="37"/>
      <c r="E42" s="15">
        <v>10.4212251763057</v>
      </c>
      <c r="F42" s="15">
        <v>-75.519853365022399</v>
      </c>
      <c r="G42" s="26"/>
      <c r="H42" s="26"/>
      <c r="I42" s="26"/>
    </row>
    <row r="43" spans="1:51" s="12" customFormat="1" x14ac:dyDescent="0.25">
      <c r="A43" s="1" t="s">
        <v>112</v>
      </c>
      <c r="B43" s="124" t="s">
        <v>113</v>
      </c>
      <c r="C43" s="37" t="s">
        <v>114</v>
      </c>
      <c r="D43" s="37"/>
      <c r="E43" s="15">
        <v>10.4289080763557</v>
      </c>
      <c r="F43" s="15">
        <v>-75.518989461362807</v>
      </c>
      <c r="G43" s="26"/>
      <c r="H43" s="26"/>
      <c r="I43" s="26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</row>
    <row r="44" spans="1:51" x14ac:dyDescent="0.25">
      <c r="A44" s="1" t="s">
        <v>115</v>
      </c>
      <c r="B44" s="46" t="s">
        <v>116</v>
      </c>
      <c r="C44" s="28" t="s">
        <v>117</v>
      </c>
      <c r="D44" s="28"/>
      <c r="E44" s="27">
        <v>10.3874620077491</v>
      </c>
      <c r="F44" s="27">
        <v>-75.502617403363601</v>
      </c>
      <c r="G44" s="26"/>
      <c r="H44" s="26"/>
      <c r="I44" s="26"/>
    </row>
    <row r="45" spans="1:51" x14ac:dyDescent="0.25">
      <c r="A45" s="1" t="s">
        <v>118</v>
      </c>
      <c r="B45" s="124" t="s">
        <v>119</v>
      </c>
      <c r="C45" s="28" t="s">
        <v>120</v>
      </c>
      <c r="D45" s="28"/>
      <c r="E45" s="15">
        <v>10.4052189333631</v>
      </c>
      <c r="F45" s="15">
        <v>-75.521455038815105</v>
      </c>
      <c r="G45" s="26"/>
      <c r="H45" s="26"/>
      <c r="I45" s="26"/>
    </row>
    <row r="46" spans="1:51" s="12" customFormat="1" x14ac:dyDescent="0.25">
      <c r="A46" s="1" t="s">
        <v>118</v>
      </c>
      <c r="B46" s="124" t="s">
        <v>121</v>
      </c>
      <c r="C46" s="28" t="s">
        <v>122</v>
      </c>
      <c r="D46" s="28"/>
      <c r="E46" s="15">
        <v>10.3999527031359</v>
      </c>
      <c r="F46" s="15">
        <v>-75.518851159575107</v>
      </c>
      <c r="G46" s="26"/>
      <c r="H46" s="26"/>
      <c r="I46" s="2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</row>
    <row r="47" spans="1:51" x14ac:dyDescent="0.25">
      <c r="A47" s="1" t="s">
        <v>118</v>
      </c>
      <c r="B47" s="124" t="s">
        <v>123</v>
      </c>
      <c r="C47" s="28" t="s">
        <v>124</v>
      </c>
      <c r="D47" s="28"/>
      <c r="E47" s="15">
        <v>10.387635905638501</v>
      </c>
      <c r="F47" s="15">
        <v>-75.511831324702101</v>
      </c>
      <c r="G47" s="26"/>
      <c r="H47" s="26"/>
      <c r="I47" s="26"/>
    </row>
    <row r="48" spans="1:51" x14ac:dyDescent="0.25">
      <c r="A48" s="1" t="s">
        <v>118</v>
      </c>
      <c r="B48" s="124" t="s">
        <v>125</v>
      </c>
      <c r="C48" s="28" t="s">
        <v>126</v>
      </c>
      <c r="D48" s="28"/>
      <c r="E48" s="15">
        <v>10.3891602285546</v>
      </c>
      <c r="F48" s="15">
        <v>-75.505057643223395</v>
      </c>
      <c r="G48" s="26"/>
      <c r="H48" s="26"/>
      <c r="I48" s="26"/>
    </row>
    <row r="49" spans="1:51" x14ac:dyDescent="0.25">
      <c r="A49" s="1" t="s">
        <v>127</v>
      </c>
      <c r="B49" s="124" t="s">
        <v>128</v>
      </c>
      <c r="C49" s="28" t="s">
        <v>129</v>
      </c>
      <c r="D49" s="28"/>
      <c r="E49" s="15">
        <v>10.389162043272499</v>
      </c>
      <c r="F49" s="15">
        <v>-75.522101401387701</v>
      </c>
      <c r="G49" s="26"/>
      <c r="H49" s="26"/>
      <c r="I49" s="26"/>
    </row>
    <row r="50" spans="1:51" s="12" customFormat="1" x14ac:dyDescent="0.25">
      <c r="A50" s="1" t="s">
        <v>130</v>
      </c>
      <c r="B50" s="124" t="s">
        <v>131</v>
      </c>
      <c r="C50" s="36" t="s">
        <v>132</v>
      </c>
      <c r="D50" s="36"/>
      <c r="E50" s="15">
        <v>10.4078656826009</v>
      </c>
      <c r="F50" s="15">
        <v>-75.521226263769904</v>
      </c>
      <c r="G50" s="26"/>
      <c r="H50" s="26"/>
      <c r="I50" s="26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</row>
    <row r="51" spans="1:51" s="12" customFormat="1" x14ac:dyDescent="0.25">
      <c r="A51" s="1" t="s">
        <v>133</v>
      </c>
      <c r="B51" s="125" t="s">
        <v>134</v>
      </c>
      <c r="C51" s="36" t="s">
        <v>135</v>
      </c>
      <c r="D51" s="36"/>
      <c r="E51" s="15">
        <v>10.400666755724</v>
      </c>
      <c r="F51" s="15">
        <v>-75.521601581784296</v>
      </c>
      <c r="G51" s="26"/>
      <c r="H51" s="26"/>
      <c r="I51" s="26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</row>
    <row r="52" spans="1:51" s="12" customFormat="1" x14ac:dyDescent="0.25">
      <c r="A52" s="1" t="s">
        <v>136</v>
      </c>
      <c r="B52" s="125" t="s">
        <v>137</v>
      </c>
      <c r="C52" s="36" t="s">
        <v>138</v>
      </c>
      <c r="D52" s="36"/>
      <c r="E52" s="15">
        <v>10.392181763774699</v>
      </c>
      <c r="F52" s="15">
        <v>-75.525694684016898</v>
      </c>
      <c r="G52" s="26"/>
      <c r="H52" s="26"/>
      <c r="I52" s="26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</row>
    <row r="53" spans="1:51" s="12" customFormat="1" x14ac:dyDescent="0.25">
      <c r="A53" s="1" t="s">
        <v>139</v>
      </c>
      <c r="B53" s="125" t="s">
        <v>140</v>
      </c>
      <c r="C53" s="36" t="s">
        <v>141</v>
      </c>
      <c r="D53" s="36"/>
      <c r="E53" s="15">
        <v>10.3916467574352</v>
      </c>
      <c r="F53" s="15">
        <v>-75.514227969604605</v>
      </c>
      <c r="G53" s="26"/>
      <c r="H53" s="26"/>
      <c r="I53" s="26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</row>
    <row r="54" spans="1:51" x14ac:dyDescent="0.25">
      <c r="A54" s="1" t="s">
        <v>142</v>
      </c>
      <c r="B54" s="125" t="s">
        <v>143</v>
      </c>
      <c r="C54" s="36" t="s">
        <v>144</v>
      </c>
      <c r="D54" s="36"/>
      <c r="E54" s="15">
        <v>10.400474097954501</v>
      </c>
      <c r="F54" s="15">
        <v>-75.511128084404703</v>
      </c>
      <c r="G54" s="26"/>
      <c r="H54" s="26"/>
      <c r="I54" s="26"/>
    </row>
    <row r="55" spans="1:51" x14ac:dyDescent="0.25">
      <c r="A55" s="1"/>
      <c r="B55" s="125" t="s">
        <v>309</v>
      </c>
      <c r="C55" s="36" t="s">
        <v>308</v>
      </c>
      <c r="D55" s="36"/>
      <c r="E55" s="15">
        <v>10.406330402584199</v>
      </c>
      <c r="F55" s="15">
        <v>-75.523287211557999</v>
      </c>
      <c r="G55" s="26"/>
      <c r="H55" s="26"/>
      <c r="I55" s="26"/>
    </row>
    <row r="56" spans="1:51" x14ac:dyDescent="0.25">
      <c r="A56" s="1" t="s">
        <v>145</v>
      </c>
      <c r="B56" s="124" t="s">
        <v>146</v>
      </c>
      <c r="C56" s="34" t="s">
        <v>145</v>
      </c>
      <c r="D56" s="34"/>
      <c r="E56" s="15">
        <v>10.404903091621</v>
      </c>
      <c r="F56" s="15">
        <v>-75.5081769262015</v>
      </c>
      <c r="G56" s="26"/>
      <c r="H56" s="26"/>
      <c r="I56" s="26"/>
    </row>
    <row r="57" spans="1:51" s="12" customFormat="1" x14ac:dyDescent="0.25">
      <c r="A57" s="1" t="s">
        <v>147</v>
      </c>
      <c r="B57" s="125" t="s">
        <v>148</v>
      </c>
      <c r="C57" s="34" t="s">
        <v>149</v>
      </c>
      <c r="D57" s="34"/>
      <c r="E57" s="18">
        <v>10.4064079564917</v>
      </c>
      <c r="F57" s="18">
        <v>-75.501948937104004</v>
      </c>
      <c r="G57" s="26"/>
      <c r="H57" s="26"/>
      <c r="I57" s="26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</row>
    <row r="58" spans="1:51" x14ac:dyDescent="0.25">
      <c r="A58" s="6" t="s">
        <v>150</v>
      </c>
      <c r="B58" s="126" t="s">
        <v>151</v>
      </c>
      <c r="C58" s="34" t="s">
        <v>152</v>
      </c>
      <c r="D58" s="127"/>
      <c r="E58" s="22">
        <v>10.396708215297499</v>
      </c>
      <c r="F58" s="22">
        <v>-75.495506800238104</v>
      </c>
      <c r="G58" s="26"/>
      <c r="H58" s="26"/>
      <c r="I58" s="26"/>
    </row>
    <row r="59" spans="1:51" x14ac:dyDescent="0.25">
      <c r="A59" s="1" t="s">
        <v>153</v>
      </c>
      <c r="B59" s="125" t="s">
        <v>154</v>
      </c>
      <c r="C59" s="42" t="s">
        <v>153</v>
      </c>
      <c r="D59" s="42"/>
      <c r="E59" s="15">
        <v>10.409044242493801</v>
      </c>
      <c r="F59" s="15">
        <v>-75.514971083855997</v>
      </c>
      <c r="G59" s="26"/>
      <c r="H59" s="26"/>
      <c r="I59" s="26"/>
    </row>
    <row r="60" spans="1:51" x14ac:dyDescent="0.25">
      <c r="A60" s="6" t="s">
        <v>155</v>
      </c>
      <c r="B60" s="126" t="s">
        <v>156</v>
      </c>
      <c r="C60" s="8" t="s">
        <v>157</v>
      </c>
      <c r="D60" s="128"/>
      <c r="E60" s="23">
        <v>10.3868003660259</v>
      </c>
      <c r="F60" s="23">
        <v>-75.481973579791898</v>
      </c>
      <c r="G60" s="26"/>
      <c r="H60" s="26"/>
      <c r="I60" s="26"/>
    </row>
    <row r="61" spans="1:51" x14ac:dyDescent="0.25">
      <c r="A61" s="6"/>
      <c r="B61" s="126" t="s">
        <v>158</v>
      </c>
      <c r="C61" s="8" t="s">
        <v>159</v>
      </c>
      <c r="D61" s="128"/>
      <c r="E61" s="43">
        <v>10.3910264632181</v>
      </c>
      <c r="F61" s="43">
        <v>-75.479541091409004</v>
      </c>
      <c r="G61" s="26"/>
      <c r="H61" s="26"/>
      <c r="I61" s="26"/>
    </row>
    <row r="62" spans="1:51" x14ac:dyDescent="0.25">
      <c r="A62" s="1" t="s">
        <v>160</v>
      </c>
      <c r="B62" s="124" t="s">
        <v>161</v>
      </c>
      <c r="C62" s="8" t="s">
        <v>162</v>
      </c>
      <c r="D62" s="8"/>
      <c r="E62" s="17">
        <v>10.3919764348817</v>
      </c>
      <c r="F62" s="17">
        <v>-75.486391035046395</v>
      </c>
      <c r="G62" s="26"/>
      <c r="H62" s="26"/>
      <c r="I62" s="26"/>
    </row>
    <row r="63" spans="1:51" x14ac:dyDescent="0.25">
      <c r="A63" s="2" t="s">
        <v>163</v>
      </c>
      <c r="B63" s="125" t="s">
        <v>164</v>
      </c>
      <c r="C63" s="8" t="s">
        <v>165</v>
      </c>
      <c r="D63" s="8"/>
      <c r="E63" s="21">
        <v>10.393475919360601</v>
      </c>
      <c r="F63" s="15">
        <v>-75.483718658049696</v>
      </c>
      <c r="G63" s="26"/>
      <c r="H63" s="26"/>
      <c r="I63" s="26"/>
    </row>
    <row r="64" spans="1:51" s="12" customFormat="1" x14ac:dyDescent="0.25">
      <c r="A64" s="1" t="s">
        <v>166</v>
      </c>
      <c r="B64" s="125" t="s">
        <v>167</v>
      </c>
      <c r="C64" s="8" t="s">
        <v>168</v>
      </c>
      <c r="D64" s="8"/>
      <c r="E64" s="15">
        <v>10.3995304936214</v>
      </c>
      <c r="F64" s="20">
        <v>-75.499999952874305</v>
      </c>
      <c r="G64" s="26"/>
      <c r="H64" s="26"/>
      <c r="I64" s="26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</row>
    <row r="65" spans="1:51" x14ac:dyDescent="0.25">
      <c r="A65" s="1" t="s">
        <v>166</v>
      </c>
      <c r="B65" s="124" t="s">
        <v>169</v>
      </c>
      <c r="C65" s="8" t="s">
        <v>170</v>
      </c>
      <c r="D65" s="8"/>
      <c r="E65" s="15">
        <v>10.3934564036996</v>
      </c>
      <c r="F65" s="15">
        <v>-75.504103587460193</v>
      </c>
      <c r="G65" s="26"/>
      <c r="H65" s="26"/>
      <c r="I65" s="26"/>
    </row>
    <row r="66" spans="1:51" x14ac:dyDescent="0.25">
      <c r="A66" s="1" t="s">
        <v>171</v>
      </c>
      <c r="B66" s="124" t="s">
        <v>172</v>
      </c>
      <c r="C66" s="8" t="s">
        <v>173</v>
      </c>
      <c r="D66" s="8"/>
      <c r="E66" s="15">
        <v>10.379801493685999</v>
      </c>
      <c r="F66" s="15">
        <v>-75.484533845029901</v>
      </c>
      <c r="G66" s="26"/>
      <c r="H66" s="26"/>
      <c r="I66" s="26"/>
    </row>
    <row r="67" spans="1:51" x14ac:dyDescent="0.25">
      <c r="A67" s="1" t="s">
        <v>174</v>
      </c>
      <c r="B67" s="124" t="s">
        <v>175</v>
      </c>
      <c r="C67" s="13" t="s">
        <v>176</v>
      </c>
      <c r="D67" s="13"/>
      <c r="E67" s="17">
        <v>10.391186340174199</v>
      </c>
      <c r="F67" s="17">
        <v>-75.488184771481798</v>
      </c>
      <c r="G67" s="26"/>
      <c r="H67" s="26"/>
      <c r="I67" s="26"/>
    </row>
    <row r="68" spans="1:51" x14ac:dyDescent="0.25">
      <c r="A68" s="2" t="s">
        <v>174</v>
      </c>
      <c r="B68" s="125" t="s">
        <v>177</v>
      </c>
      <c r="C68" s="8" t="s">
        <v>178</v>
      </c>
      <c r="D68" s="8"/>
      <c r="E68" s="15">
        <v>10.387154821828601</v>
      </c>
      <c r="F68" s="15">
        <v>-75.485730170023103</v>
      </c>
      <c r="G68" s="26"/>
      <c r="H68" s="26"/>
      <c r="I68" s="26"/>
    </row>
    <row r="69" spans="1:51" x14ac:dyDescent="0.25">
      <c r="A69" s="2" t="s">
        <v>179</v>
      </c>
      <c r="B69" s="125" t="s">
        <v>180</v>
      </c>
      <c r="C69" s="9" t="s">
        <v>181</v>
      </c>
      <c r="D69" s="9"/>
      <c r="E69" s="18">
        <v>10.4030974106523</v>
      </c>
      <c r="F69" s="18">
        <v>-75.483342258952007</v>
      </c>
      <c r="G69" s="26"/>
      <c r="H69" s="26"/>
      <c r="I69" s="26"/>
    </row>
    <row r="70" spans="1:51" x14ac:dyDescent="0.25">
      <c r="A70" s="2" t="s">
        <v>182</v>
      </c>
      <c r="B70" s="125" t="s">
        <v>183</v>
      </c>
      <c r="C70" s="9" t="s">
        <v>184</v>
      </c>
      <c r="D70" s="9"/>
      <c r="E70" s="18">
        <v>10.3959444718594</v>
      </c>
      <c r="F70" s="18">
        <v>-75.476907737088794</v>
      </c>
      <c r="G70" s="26"/>
      <c r="H70" s="26"/>
      <c r="I70" s="26"/>
    </row>
    <row r="71" spans="1:51" x14ac:dyDescent="0.25">
      <c r="A71" s="2" t="s">
        <v>185</v>
      </c>
      <c r="B71" s="125" t="s">
        <v>186</v>
      </c>
      <c r="C71" s="9" t="s">
        <v>187</v>
      </c>
      <c r="D71" s="9"/>
      <c r="E71" s="18">
        <v>10.4022844489912</v>
      </c>
      <c r="F71" s="18">
        <v>-75.487246581973196</v>
      </c>
      <c r="G71" s="26"/>
      <c r="H71" s="26"/>
      <c r="I71" s="26"/>
    </row>
    <row r="72" spans="1:51" x14ac:dyDescent="0.25">
      <c r="A72" s="2" t="s">
        <v>188</v>
      </c>
      <c r="B72" s="125" t="s">
        <v>189</v>
      </c>
      <c r="C72" s="9" t="s">
        <v>190</v>
      </c>
      <c r="D72" s="9"/>
      <c r="E72" s="18">
        <v>10.3978398904625</v>
      </c>
      <c r="F72" s="18">
        <v>-75.492891757212902</v>
      </c>
      <c r="G72" s="26"/>
      <c r="H72" s="26"/>
      <c r="I72" s="26"/>
    </row>
    <row r="73" spans="1:51" x14ac:dyDescent="0.25">
      <c r="A73" s="2" t="s">
        <v>191</v>
      </c>
      <c r="B73" s="125" t="s">
        <v>192</v>
      </c>
      <c r="C73" s="38" t="s">
        <v>193</v>
      </c>
      <c r="D73" s="38"/>
      <c r="E73" s="16">
        <v>10.3972948502789</v>
      </c>
      <c r="F73" s="16">
        <v>-75.473796909716597</v>
      </c>
      <c r="G73" s="26"/>
      <c r="H73" s="26"/>
      <c r="I73" s="26"/>
    </row>
    <row r="74" spans="1:51" s="12" customFormat="1" x14ac:dyDescent="0.25">
      <c r="A74" s="2" t="s">
        <v>194</v>
      </c>
      <c r="B74" s="125" t="s">
        <v>195</v>
      </c>
      <c r="C74" s="38" t="s">
        <v>196</v>
      </c>
      <c r="D74" s="38"/>
      <c r="E74" s="19">
        <v>10.4000129583901</v>
      </c>
      <c r="F74" s="18">
        <v>-75.467056026484002</v>
      </c>
      <c r="G74" s="26"/>
      <c r="H74" s="26"/>
      <c r="I74" s="26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</row>
    <row r="75" spans="1:51" s="12" customFormat="1" x14ac:dyDescent="0.25">
      <c r="A75" s="1" t="s">
        <v>197</v>
      </c>
      <c r="B75" s="125" t="s">
        <v>198</v>
      </c>
      <c r="C75" s="38" t="s">
        <v>199</v>
      </c>
      <c r="D75" s="38"/>
      <c r="E75" s="19">
        <v>10.405401970652299</v>
      </c>
      <c r="F75" s="18">
        <v>-75.485941973806504</v>
      </c>
      <c r="G75" s="26"/>
      <c r="H75" s="26"/>
      <c r="I75" s="26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</row>
    <row r="76" spans="1:51" s="12" customFormat="1" x14ac:dyDescent="0.25">
      <c r="A76" s="1" t="s">
        <v>200</v>
      </c>
      <c r="B76" s="125" t="s">
        <v>201</v>
      </c>
      <c r="C76" s="38" t="s">
        <v>202</v>
      </c>
      <c r="D76" s="38"/>
      <c r="E76" s="16">
        <v>10.4029050737993</v>
      </c>
      <c r="F76" s="16">
        <v>-75.475039329512796</v>
      </c>
      <c r="G76" s="26"/>
      <c r="H76" s="26"/>
      <c r="I76" s="2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</row>
    <row r="77" spans="1:51" s="12" customFormat="1" x14ac:dyDescent="0.25">
      <c r="A77" s="1" t="s">
        <v>203</v>
      </c>
      <c r="B77" s="125" t="s">
        <v>204</v>
      </c>
      <c r="C77" s="38" t="s">
        <v>205</v>
      </c>
      <c r="D77" s="38"/>
      <c r="E77" s="19">
        <v>10.406630268570201</v>
      </c>
      <c r="F77" s="18">
        <v>-75.491400700518696</v>
      </c>
      <c r="G77" s="26"/>
      <c r="H77" s="26"/>
      <c r="I77" s="26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</row>
    <row r="78" spans="1:51" s="12" customFormat="1" x14ac:dyDescent="0.25">
      <c r="A78" s="1" t="s">
        <v>206</v>
      </c>
      <c r="B78" s="125" t="s">
        <v>207</v>
      </c>
      <c r="C78" s="30" t="s">
        <v>208</v>
      </c>
      <c r="D78" s="30"/>
      <c r="E78" s="15">
        <v>10.3801691056319</v>
      </c>
      <c r="F78" s="15">
        <v>-75.5033616944215</v>
      </c>
      <c r="G78" s="26"/>
      <c r="H78" s="26"/>
      <c r="I78" s="26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</row>
    <row r="79" spans="1:51" s="12" customFormat="1" x14ac:dyDescent="0.25">
      <c r="A79" s="1" t="s">
        <v>209</v>
      </c>
      <c r="B79" s="125" t="s">
        <v>210</v>
      </c>
      <c r="C79" s="30" t="s">
        <v>211</v>
      </c>
      <c r="D79" s="30"/>
      <c r="E79" s="15">
        <v>10.3493111737445</v>
      </c>
      <c r="F79" s="15">
        <v>-75.4887021484587</v>
      </c>
      <c r="G79" s="26"/>
      <c r="H79" s="26"/>
      <c r="I79" s="26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</row>
    <row r="80" spans="1:51" x14ac:dyDescent="0.25">
      <c r="A80" s="2" t="s">
        <v>212</v>
      </c>
      <c r="B80" s="125" t="s">
        <v>213</v>
      </c>
      <c r="C80" s="30" t="s">
        <v>214</v>
      </c>
      <c r="D80" s="30"/>
      <c r="E80" s="15">
        <v>10.3687284687225</v>
      </c>
      <c r="F80" s="15">
        <v>-75.474239247870699</v>
      </c>
      <c r="G80" s="26"/>
      <c r="H80" s="26"/>
      <c r="I80" s="26"/>
    </row>
    <row r="81" spans="1:51" x14ac:dyDescent="0.25">
      <c r="A81" s="1" t="s">
        <v>215</v>
      </c>
      <c r="B81" s="124" t="s">
        <v>216</v>
      </c>
      <c r="C81" s="30" t="s">
        <v>217</v>
      </c>
      <c r="D81" s="30"/>
      <c r="E81" s="15">
        <v>10.358188917006199</v>
      </c>
      <c r="F81" s="15">
        <v>-75.470700446208994</v>
      </c>
      <c r="G81" s="26"/>
      <c r="H81" s="26"/>
      <c r="I81" s="26"/>
    </row>
    <row r="82" spans="1:51" x14ac:dyDescent="0.25">
      <c r="A82" s="1" t="s">
        <v>215</v>
      </c>
      <c r="B82" s="124" t="s">
        <v>218</v>
      </c>
      <c r="C82" s="30" t="s">
        <v>219</v>
      </c>
      <c r="D82" s="30"/>
      <c r="E82" s="15">
        <v>10.371993602221201</v>
      </c>
      <c r="F82" s="15">
        <v>-75.481606644906904</v>
      </c>
      <c r="G82" s="26"/>
      <c r="H82" s="26"/>
      <c r="I82" s="26"/>
    </row>
    <row r="83" spans="1:51" x14ac:dyDescent="0.25">
      <c r="A83" s="1" t="s">
        <v>220</v>
      </c>
      <c r="B83" s="124" t="s">
        <v>221</v>
      </c>
      <c r="C83" s="30" t="s">
        <v>222</v>
      </c>
      <c r="D83" s="30"/>
      <c r="E83" s="15">
        <v>10.3747814716533</v>
      </c>
      <c r="F83" s="15">
        <v>-75.4808905227097</v>
      </c>
      <c r="G83" s="26"/>
      <c r="H83" s="26"/>
      <c r="I83" s="26"/>
    </row>
    <row r="84" spans="1:51" s="12" customFormat="1" x14ac:dyDescent="0.25">
      <c r="A84" s="1" t="s">
        <v>220</v>
      </c>
      <c r="B84" s="125" t="s">
        <v>223</v>
      </c>
      <c r="C84" s="30" t="s">
        <v>224</v>
      </c>
      <c r="D84" s="30"/>
      <c r="E84" s="15">
        <v>10.3790242599678</v>
      </c>
      <c r="F84" s="15">
        <v>-75.490232421777193</v>
      </c>
      <c r="G84" s="26"/>
      <c r="H84" s="26"/>
      <c r="I84" s="26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</row>
    <row r="85" spans="1:51" s="12" customFormat="1" x14ac:dyDescent="0.25">
      <c r="A85" s="1" t="s">
        <v>225</v>
      </c>
      <c r="B85" s="125" t="s">
        <v>226</v>
      </c>
      <c r="C85" s="30" t="s">
        <v>227</v>
      </c>
      <c r="D85" s="30"/>
      <c r="E85" s="15">
        <v>10.373265730718</v>
      </c>
      <c r="F85" s="15">
        <v>-75.472460699512396</v>
      </c>
      <c r="G85" s="26"/>
      <c r="H85" s="26"/>
      <c r="I85" s="26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</row>
    <row r="86" spans="1:51" s="12" customFormat="1" x14ac:dyDescent="0.25">
      <c r="A86" s="1" t="s">
        <v>228</v>
      </c>
      <c r="B86" s="125" t="s">
        <v>229</v>
      </c>
      <c r="C86" s="30" t="s">
        <v>230</v>
      </c>
      <c r="D86" s="30"/>
      <c r="E86" s="15">
        <v>10.381715271799999</v>
      </c>
      <c r="F86" s="15">
        <v>-75.496112772816105</v>
      </c>
      <c r="G86" s="26"/>
      <c r="H86" s="26"/>
      <c r="I86" s="2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</row>
    <row r="87" spans="1:51" s="12" customFormat="1" x14ac:dyDescent="0.25">
      <c r="A87" s="1" t="s">
        <v>231</v>
      </c>
      <c r="B87" s="124" t="s">
        <v>311</v>
      </c>
      <c r="C87" s="30" t="s">
        <v>305</v>
      </c>
      <c r="D87" s="30"/>
      <c r="E87" s="63">
        <v>10.373108930954499</v>
      </c>
      <c r="F87" s="15">
        <v>-75.505057090593994</v>
      </c>
      <c r="G87" s="26"/>
      <c r="H87" s="26"/>
      <c r="I87" s="26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</row>
    <row r="88" spans="1:51" s="12" customFormat="1" x14ac:dyDescent="0.25">
      <c r="A88" s="1" t="s">
        <v>233</v>
      </c>
      <c r="B88" s="125" t="s">
        <v>234</v>
      </c>
      <c r="C88" s="30" t="s">
        <v>235</v>
      </c>
      <c r="D88" s="30"/>
      <c r="E88" s="15">
        <v>10.354513995762</v>
      </c>
      <c r="F88" s="15">
        <v>-75.497284821716406</v>
      </c>
      <c r="G88" s="26"/>
      <c r="H88" s="26"/>
      <c r="I88" s="26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</row>
    <row r="89" spans="1:51" s="12" customFormat="1" x14ac:dyDescent="0.25">
      <c r="A89" s="1" t="s">
        <v>236</v>
      </c>
      <c r="B89" s="125" t="s">
        <v>237</v>
      </c>
      <c r="C89" s="30" t="s">
        <v>238</v>
      </c>
      <c r="D89" s="30"/>
      <c r="E89" s="17">
        <v>10.343550861333901</v>
      </c>
      <c r="F89" s="17">
        <v>-75.484895597516797</v>
      </c>
      <c r="G89" s="26"/>
      <c r="H89" s="26"/>
      <c r="I89" s="26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</row>
    <row r="90" spans="1:51" s="12" customFormat="1" x14ac:dyDescent="0.25">
      <c r="A90" s="1" t="s">
        <v>239</v>
      </c>
      <c r="B90" s="125" t="s">
        <v>240</v>
      </c>
      <c r="C90" s="30" t="s">
        <v>241</v>
      </c>
      <c r="D90" s="30"/>
      <c r="E90" s="15">
        <v>10.375445881145399</v>
      </c>
      <c r="F90" s="15">
        <v>-75.486810591926798</v>
      </c>
      <c r="G90" s="26"/>
      <c r="H90" s="26"/>
      <c r="I90" s="26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</row>
    <row r="91" spans="1:51" s="12" customFormat="1" x14ac:dyDescent="0.25">
      <c r="A91" s="1" t="s">
        <v>242</v>
      </c>
      <c r="B91" s="125" t="s">
        <v>243</v>
      </c>
      <c r="C91" s="30" t="s">
        <v>244</v>
      </c>
      <c r="D91" s="30"/>
      <c r="E91" s="15">
        <v>10.379930091342599</v>
      </c>
      <c r="F91" s="15">
        <v>-75.4888601974301</v>
      </c>
      <c r="G91" s="26"/>
      <c r="H91" s="26"/>
      <c r="I91" s="26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</row>
    <row r="92" spans="1:51" x14ac:dyDescent="0.25">
      <c r="A92" s="1" t="s">
        <v>245</v>
      </c>
      <c r="B92" s="124" t="s">
        <v>246</v>
      </c>
      <c r="C92" s="30" t="s">
        <v>247</v>
      </c>
      <c r="D92" s="30"/>
      <c r="E92" s="15">
        <v>10.3902482727805</v>
      </c>
      <c r="F92" s="15">
        <v>-75.491713052509098</v>
      </c>
      <c r="G92" s="26"/>
      <c r="H92" s="26"/>
      <c r="I92" s="26"/>
    </row>
    <row r="93" spans="1:51" x14ac:dyDescent="0.25">
      <c r="A93" s="1" t="s">
        <v>228</v>
      </c>
      <c r="B93" s="124" t="s">
        <v>310</v>
      </c>
      <c r="C93" s="30" t="s">
        <v>304</v>
      </c>
      <c r="D93" s="30"/>
      <c r="E93" s="15">
        <v>10.3769495206496</v>
      </c>
      <c r="F93" s="15">
        <v>-75.499706079599093</v>
      </c>
      <c r="G93" s="26"/>
      <c r="H93" s="26"/>
      <c r="I93" s="26"/>
    </row>
    <row r="94" spans="1:51" x14ac:dyDescent="0.25">
      <c r="A94" s="1" t="s">
        <v>248</v>
      </c>
      <c r="B94" s="125" t="s">
        <v>249</v>
      </c>
      <c r="C94" s="41" t="s">
        <v>250</v>
      </c>
      <c r="D94" s="41"/>
      <c r="E94" s="17">
        <v>10.378792786144</v>
      </c>
      <c r="F94" s="17">
        <v>-75.4715085589891</v>
      </c>
      <c r="G94" s="26"/>
      <c r="H94" s="26"/>
      <c r="I94" s="26"/>
    </row>
    <row r="95" spans="1:51" x14ac:dyDescent="0.25">
      <c r="A95" s="1" t="s">
        <v>248</v>
      </c>
      <c r="B95" s="125" t="s">
        <v>251</v>
      </c>
      <c r="C95" s="41" t="s">
        <v>252</v>
      </c>
      <c r="D95" s="41"/>
      <c r="E95" s="17">
        <v>10.379400951332901</v>
      </c>
      <c r="F95" s="17">
        <v>-75.479774686016995</v>
      </c>
      <c r="G95" s="26"/>
      <c r="H95" s="26"/>
      <c r="I95" s="26"/>
    </row>
    <row r="96" spans="1:51" x14ac:dyDescent="0.25">
      <c r="A96" s="1" t="s">
        <v>253</v>
      </c>
      <c r="B96" s="125" t="s">
        <v>254</v>
      </c>
      <c r="C96" s="41" t="s">
        <v>255</v>
      </c>
      <c r="D96" s="41"/>
      <c r="E96" s="17">
        <v>10.383694215853801</v>
      </c>
      <c r="F96" s="17">
        <v>-75.468162532142898</v>
      </c>
      <c r="G96" s="26"/>
      <c r="H96" s="26"/>
      <c r="I96" s="26"/>
    </row>
    <row r="97" spans="1:51" s="12" customFormat="1" x14ac:dyDescent="0.25">
      <c r="A97" s="1" t="s">
        <v>256</v>
      </c>
      <c r="B97" s="125" t="s">
        <v>257</v>
      </c>
      <c r="C97" s="41" t="s">
        <v>258</v>
      </c>
      <c r="D97" s="41"/>
      <c r="E97" s="17">
        <v>10.3885521237981</v>
      </c>
      <c r="F97" s="17">
        <v>-75.475297956089904</v>
      </c>
      <c r="G97" s="26"/>
      <c r="H97" s="26"/>
      <c r="I97" s="26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</row>
    <row r="98" spans="1:51" s="12" customFormat="1" x14ac:dyDescent="0.25">
      <c r="A98" s="1" t="s">
        <v>259</v>
      </c>
      <c r="B98" s="125" t="s">
        <v>260</v>
      </c>
      <c r="C98" s="7" t="s">
        <v>261</v>
      </c>
      <c r="D98" s="7"/>
      <c r="E98" s="15">
        <v>10.381088612075001</v>
      </c>
      <c r="F98" s="15">
        <v>-75.450794468654607</v>
      </c>
      <c r="G98" s="26"/>
      <c r="H98" s="26"/>
      <c r="I98" s="26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</row>
    <row r="99" spans="1:51" s="12" customFormat="1" x14ac:dyDescent="0.25">
      <c r="A99" s="1" t="s">
        <v>262</v>
      </c>
      <c r="B99" s="125" t="s">
        <v>263</v>
      </c>
      <c r="C99" s="7" t="s">
        <v>264</v>
      </c>
      <c r="D99" s="7"/>
      <c r="E99" s="15">
        <v>10.3915327912256</v>
      </c>
      <c r="F99" s="15">
        <v>-75.448659505760205</v>
      </c>
      <c r="G99" s="26"/>
      <c r="H99" s="26"/>
      <c r="I99" s="26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</row>
    <row r="100" spans="1:51" s="12" customFormat="1" x14ac:dyDescent="0.25">
      <c r="A100" s="1" t="s">
        <v>265</v>
      </c>
      <c r="B100" s="124" t="s">
        <v>266</v>
      </c>
      <c r="C100" s="7" t="s">
        <v>267</v>
      </c>
      <c r="D100" s="7"/>
      <c r="E100" s="15">
        <v>10.381940096024801</v>
      </c>
      <c r="F100" s="15">
        <v>-75.465528091067796</v>
      </c>
      <c r="G100" s="26"/>
      <c r="H100" s="26"/>
      <c r="I100" s="26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</row>
    <row r="101" spans="1:51" s="12" customFormat="1" x14ac:dyDescent="0.25">
      <c r="A101" s="24" t="s">
        <v>268</v>
      </c>
      <c r="B101" s="124" t="s">
        <v>269</v>
      </c>
      <c r="C101" s="7" t="s">
        <v>270</v>
      </c>
      <c r="D101" s="7"/>
      <c r="E101" s="15">
        <v>10.386869728692201</v>
      </c>
      <c r="F101" s="15">
        <v>-75.458997518710802</v>
      </c>
      <c r="G101" s="26"/>
      <c r="H101" s="26"/>
      <c r="I101" s="26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</row>
    <row r="102" spans="1:51" x14ac:dyDescent="0.25">
      <c r="A102" s="1" t="s">
        <v>271</v>
      </c>
      <c r="B102" s="124" t="s">
        <v>272</v>
      </c>
      <c r="C102" s="7" t="s">
        <v>273</v>
      </c>
      <c r="D102" s="7"/>
      <c r="E102" s="17">
        <v>10.366340416047199</v>
      </c>
      <c r="F102" s="17">
        <v>-75.450741793081093</v>
      </c>
      <c r="G102" s="26"/>
      <c r="H102" s="26"/>
      <c r="I102" s="26"/>
    </row>
    <row r="103" spans="1:51" x14ac:dyDescent="0.25">
      <c r="A103" s="24" t="s">
        <v>274</v>
      </c>
      <c r="B103" s="124" t="s">
        <v>275</v>
      </c>
      <c r="C103" s="11" t="s">
        <v>276</v>
      </c>
      <c r="D103" s="11"/>
      <c r="E103" s="15">
        <v>10.399837494313299</v>
      </c>
      <c r="F103" s="15">
        <v>-75.460889746705107</v>
      </c>
      <c r="G103" s="26"/>
      <c r="H103" s="26"/>
      <c r="I103" s="26"/>
    </row>
    <row r="104" spans="1:51" x14ac:dyDescent="0.25">
      <c r="A104" s="24" t="s">
        <v>274</v>
      </c>
      <c r="B104" s="126" t="s">
        <v>277</v>
      </c>
      <c r="C104" s="11" t="s">
        <v>278</v>
      </c>
      <c r="D104" s="129"/>
      <c r="E104" s="22">
        <v>10.3996593904411</v>
      </c>
      <c r="F104" s="15">
        <v>-75.456148536438903</v>
      </c>
      <c r="G104" s="26"/>
      <c r="H104" s="26"/>
      <c r="I104" s="26"/>
    </row>
    <row r="105" spans="1:51" x14ac:dyDescent="0.25">
      <c r="A105" s="6" t="s">
        <v>274</v>
      </c>
      <c r="B105" s="126" t="s">
        <v>279</v>
      </c>
      <c r="C105" s="11" t="s">
        <v>280</v>
      </c>
      <c r="D105" s="129"/>
      <c r="E105" s="22">
        <v>10.4022483873017</v>
      </c>
      <c r="F105" s="15">
        <v>-75.460286105421204</v>
      </c>
      <c r="G105" s="26"/>
      <c r="H105" s="26"/>
      <c r="I105" s="26"/>
    </row>
    <row r="106" spans="1:51" x14ac:dyDescent="0.25">
      <c r="A106" s="1" t="s">
        <v>281</v>
      </c>
      <c r="B106" s="125" t="s">
        <v>282</v>
      </c>
      <c r="C106" s="11" t="s">
        <v>283</v>
      </c>
      <c r="D106" s="11"/>
      <c r="E106" s="15">
        <v>10.394146421773801</v>
      </c>
      <c r="F106" s="15">
        <v>-75.4610794591878</v>
      </c>
      <c r="G106" s="26"/>
      <c r="H106" s="26"/>
      <c r="I106" s="26"/>
    </row>
    <row r="107" spans="1:51" x14ac:dyDescent="0.25">
      <c r="A107" s="1" t="s">
        <v>281</v>
      </c>
      <c r="B107" s="125" t="s">
        <v>284</v>
      </c>
      <c r="C107" s="11" t="s">
        <v>285</v>
      </c>
      <c r="D107" s="11"/>
      <c r="E107" s="15">
        <v>10.388991399601601</v>
      </c>
      <c r="F107" s="15">
        <v>-75.468293100254996</v>
      </c>
      <c r="G107" s="26"/>
      <c r="H107" s="26"/>
      <c r="I107" s="26"/>
    </row>
    <row r="108" spans="1:51" x14ac:dyDescent="0.25">
      <c r="A108" s="6" t="s">
        <v>286</v>
      </c>
      <c r="B108" s="126" t="s">
        <v>287</v>
      </c>
      <c r="C108" s="39" t="s">
        <v>288</v>
      </c>
      <c r="D108" s="130"/>
      <c r="E108" s="35">
        <v>10.403491312994801</v>
      </c>
      <c r="F108" s="18">
        <v>-75.464060610633595</v>
      </c>
      <c r="G108" s="26"/>
      <c r="H108" s="26"/>
      <c r="I108" s="26"/>
    </row>
    <row r="109" spans="1:51" x14ac:dyDescent="0.25">
      <c r="A109" s="6" t="s">
        <v>289</v>
      </c>
      <c r="B109" s="126" t="s">
        <v>290</v>
      </c>
      <c r="C109" s="39" t="s">
        <v>291</v>
      </c>
      <c r="D109" s="130"/>
      <c r="E109" s="35">
        <v>10.407476083697899</v>
      </c>
      <c r="F109" s="61">
        <v>-75.449575519009599</v>
      </c>
      <c r="G109" s="26"/>
      <c r="H109" s="26"/>
      <c r="I109" s="26"/>
    </row>
    <row r="110" spans="1:51" x14ac:dyDescent="0.25">
      <c r="A110" s="6" t="s">
        <v>289</v>
      </c>
      <c r="B110" s="126" t="s">
        <v>292</v>
      </c>
      <c r="C110" s="39" t="s">
        <v>293</v>
      </c>
      <c r="D110" s="130"/>
      <c r="E110" s="43">
        <v>10.4159246438909</v>
      </c>
      <c r="F110" s="43">
        <v>-75.462039100806507</v>
      </c>
      <c r="G110" s="26"/>
      <c r="H110" s="26"/>
      <c r="I110" s="26"/>
    </row>
    <row r="111" spans="1:51" x14ac:dyDescent="0.25">
      <c r="A111" s="6" t="s">
        <v>289</v>
      </c>
      <c r="B111" s="126" t="s">
        <v>294</v>
      </c>
      <c r="C111" s="39" t="s">
        <v>295</v>
      </c>
      <c r="D111" s="130"/>
      <c r="E111" s="43">
        <v>10.4056442039812</v>
      </c>
      <c r="F111" s="43">
        <v>-75.453875993462603</v>
      </c>
      <c r="G111" s="26"/>
      <c r="H111" s="26"/>
      <c r="I111" s="26"/>
    </row>
    <row r="112" spans="1:51" x14ac:dyDescent="0.25">
      <c r="A112" s="6" t="s">
        <v>296</v>
      </c>
      <c r="B112" s="126" t="s">
        <v>297</v>
      </c>
      <c r="C112" s="39" t="s">
        <v>298</v>
      </c>
      <c r="D112" s="130"/>
      <c r="E112" s="22">
        <v>10.4235839550555</v>
      </c>
      <c r="F112" s="22">
        <v>-75.446196864095896</v>
      </c>
      <c r="G112" s="26"/>
      <c r="H112" s="26"/>
      <c r="I112" s="26"/>
    </row>
    <row r="113" spans="1:9" x14ac:dyDescent="0.25">
      <c r="A113" s="6" t="s">
        <v>296</v>
      </c>
      <c r="B113" s="126" t="s">
        <v>299</v>
      </c>
      <c r="C113" s="39" t="s">
        <v>300</v>
      </c>
      <c r="D113" s="130"/>
      <c r="E113" s="22">
        <v>10.4162678398826</v>
      </c>
      <c r="F113" s="22">
        <v>-75.438402809751693</v>
      </c>
      <c r="G113" s="26"/>
      <c r="H113" s="26"/>
      <c r="I113" s="26"/>
    </row>
    <row r="114" spans="1:9" x14ac:dyDescent="0.25">
      <c r="A114" s="6" t="s">
        <v>296</v>
      </c>
      <c r="B114" s="126" t="s">
        <v>301</v>
      </c>
      <c r="C114" s="39" t="s">
        <v>302</v>
      </c>
      <c r="D114" s="130"/>
      <c r="E114" s="22">
        <v>10.4129979039961</v>
      </c>
      <c r="F114" s="22">
        <v>-75.441820340667803</v>
      </c>
      <c r="G114" s="26"/>
      <c r="H114" s="26"/>
      <c r="I114" s="26"/>
    </row>
    <row r="128" spans="1:9" x14ac:dyDescent="0.25">
      <c r="D128" s="25" t="s">
        <v>9</v>
      </c>
    </row>
    <row r="141" spans="2:2" x14ac:dyDescent="0.25">
      <c r="B141" t="s">
        <v>9</v>
      </c>
    </row>
  </sheetData>
  <conditionalFormatting sqref="B43">
    <cfRule type="cellIs" dxfId="3" priority="1" operator="equal">
      <formula>"1*"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40BF4-3E99-4D1E-A147-51BE36D5E24F}">
  <dimension ref="A1:DQ120"/>
  <sheetViews>
    <sheetView zoomScale="65" zoomScaleNormal="11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R20" sqref="R20"/>
    </sheetView>
  </sheetViews>
  <sheetFormatPr baseColWidth="10" defaultColWidth="13.5703125" defaultRowHeight="15" x14ac:dyDescent="0.25"/>
  <cols>
    <col min="1" max="1" width="19.28515625" customWidth="1"/>
    <col min="2" max="2" width="6.7109375" bestFit="1" customWidth="1"/>
    <col min="3" max="3" width="11" bestFit="1" customWidth="1"/>
    <col min="4" max="4" width="11.140625" bestFit="1" customWidth="1"/>
    <col min="5" max="5" width="10.140625" bestFit="1" customWidth="1"/>
    <col min="6" max="6" width="10.5703125" bestFit="1" customWidth="1"/>
    <col min="7" max="7" width="12.28515625" bestFit="1" customWidth="1"/>
    <col min="8" max="8" width="10.5703125" bestFit="1" customWidth="1"/>
    <col min="9" max="9" width="12.85546875" bestFit="1" customWidth="1"/>
    <col min="10" max="10" width="17.7109375" bestFit="1" customWidth="1"/>
    <col min="11" max="11" width="17" bestFit="1" customWidth="1"/>
    <col min="12" max="12" width="17.28515625" bestFit="1" customWidth="1"/>
    <col min="13" max="13" width="13.42578125" bestFit="1" customWidth="1"/>
    <col min="14" max="14" width="11.140625" bestFit="1" customWidth="1"/>
    <col min="15" max="15" width="10.28515625" bestFit="1" customWidth="1"/>
    <col min="16" max="16" width="18.42578125" bestFit="1" customWidth="1"/>
    <col min="17" max="17" width="14.5703125" bestFit="1" customWidth="1"/>
    <col min="18" max="18" width="13.42578125" bestFit="1" customWidth="1"/>
    <col min="19" max="19" width="18.7109375" bestFit="1" customWidth="1"/>
    <col min="20" max="20" width="16.85546875" bestFit="1" customWidth="1"/>
    <col min="21" max="21" width="10.140625" bestFit="1" customWidth="1"/>
    <col min="22" max="22" width="13.5703125" customWidth="1"/>
    <col min="23" max="23" width="16.5703125" bestFit="1" customWidth="1"/>
    <col min="24" max="24" width="15.85546875" bestFit="1" customWidth="1"/>
    <col min="25" max="25" width="15.85546875" customWidth="1"/>
    <col min="26" max="26" width="12.5703125" bestFit="1" customWidth="1"/>
    <col min="27" max="27" width="11.140625" bestFit="1" customWidth="1"/>
    <col min="28" max="28" width="11" bestFit="1" customWidth="1"/>
    <col min="29" max="29" width="15.85546875" bestFit="1" customWidth="1"/>
    <col min="30" max="30" width="11.140625" bestFit="1" customWidth="1"/>
    <col min="31" max="31" width="13.28515625" bestFit="1" customWidth="1"/>
    <col min="32" max="32" width="13" bestFit="1" customWidth="1"/>
    <col min="33" max="33" width="14.28515625" bestFit="1" customWidth="1"/>
    <col min="34" max="34" width="14" bestFit="1" customWidth="1"/>
    <col min="35" max="35" width="10.5703125" bestFit="1" customWidth="1"/>
    <col min="36" max="36" width="14.140625" customWidth="1"/>
    <col min="37" max="37" width="15.42578125" bestFit="1" customWidth="1"/>
    <col min="38" max="38" width="15.42578125" customWidth="1"/>
    <col min="39" max="39" width="9.85546875" bestFit="1" customWidth="1"/>
    <col min="40" max="40" width="13.5703125" customWidth="1"/>
    <col min="41" max="41" width="14" bestFit="1" customWidth="1"/>
    <col min="42" max="42" width="12.85546875" bestFit="1" customWidth="1"/>
    <col min="43" max="43" width="17.5703125" bestFit="1" customWidth="1"/>
    <col min="44" max="44" width="21.42578125" bestFit="1" customWidth="1"/>
    <col min="45" max="45" width="14.42578125" bestFit="1" customWidth="1"/>
    <col min="46" max="46" width="12.42578125" bestFit="1" customWidth="1"/>
    <col min="47" max="47" width="11.140625" bestFit="1" customWidth="1"/>
    <col min="48" max="48" width="17" bestFit="1" customWidth="1"/>
    <col min="49" max="49" width="12.5703125" bestFit="1" customWidth="1"/>
    <col min="50" max="50" width="11.85546875" bestFit="1" customWidth="1"/>
    <col min="51" max="51" width="11" bestFit="1" customWidth="1"/>
    <col min="52" max="52" width="14.7109375" bestFit="1" customWidth="1"/>
    <col min="53" max="53" width="13.5703125" bestFit="1" customWidth="1"/>
    <col min="54" max="54" width="17.5703125" bestFit="1" customWidth="1"/>
    <col min="55" max="55" width="12.5703125" bestFit="1" customWidth="1"/>
    <col min="56" max="56" width="12.5703125" customWidth="1"/>
    <col min="57" max="57" width="15" bestFit="1" customWidth="1"/>
    <col min="58" max="58" width="10.85546875" bestFit="1" customWidth="1"/>
    <col min="59" max="59" width="15.85546875" bestFit="1" customWidth="1"/>
    <col min="60" max="60" width="11.140625" bestFit="1" customWidth="1"/>
    <col min="61" max="61" width="11.42578125" bestFit="1" customWidth="1"/>
    <col min="62" max="62" width="11.85546875" bestFit="1" customWidth="1"/>
    <col min="63" max="63" width="9.5703125" bestFit="1" customWidth="1"/>
    <col min="64" max="64" width="12.5703125" bestFit="1" customWidth="1"/>
    <col min="65" max="65" width="11.42578125" bestFit="1" customWidth="1"/>
    <col min="66" max="66" width="13.85546875" bestFit="1" customWidth="1"/>
    <col min="67" max="67" width="16.42578125" bestFit="1" customWidth="1"/>
    <col min="68" max="68" width="19.140625" bestFit="1" customWidth="1"/>
    <col min="69" max="69" width="11.85546875" bestFit="1" customWidth="1"/>
    <col min="70" max="70" width="10.28515625" bestFit="1" customWidth="1"/>
    <col min="71" max="71" width="9.85546875" bestFit="1" customWidth="1"/>
    <col min="72" max="73" width="10.85546875" bestFit="1" customWidth="1"/>
    <col min="74" max="74" width="13.5703125" bestFit="1" customWidth="1"/>
    <col min="75" max="75" width="11" bestFit="1" customWidth="1"/>
    <col min="76" max="76" width="9.42578125" bestFit="1" customWidth="1"/>
    <col min="77" max="77" width="17.42578125" customWidth="1"/>
    <col min="78" max="78" width="10.85546875" bestFit="1" customWidth="1"/>
    <col min="79" max="79" width="14.85546875" bestFit="1" customWidth="1"/>
    <col min="80" max="80" width="13" bestFit="1" customWidth="1"/>
    <col min="81" max="81" width="12.140625" bestFit="1" customWidth="1"/>
    <col min="82" max="82" width="15.42578125" customWidth="1"/>
    <col min="83" max="83" width="15.28515625" bestFit="1" customWidth="1"/>
    <col min="84" max="84" width="16" bestFit="1" customWidth="1"/>
    <col min="85" max="85" width="14.85546875" bestFit="1" customWidth="1"/>
    <col min="86" max="86" width="13.28515625" bestFit="1" customWidth="1"/>
    <col min="87" max="87" width="15.42578125" bestFit="1" customWidth="1"/>
    <col min="88" max="88" width="15.42578125" customWidth="1"/>
    <col min="89" max="89" width="13.5703125" bestFit="1" customWidth="1"/>
    <col min="90" max="90" width="13" bestFit="1" customWidth="1"/>
    <col min="91" max="91" width="11" bestFit="1" customWidth="1"/>
    <col min="92" max="92" width="14.85546875" bestFit="1" customWidth="1"/>
    <col min="93" max="93" width="17.85546875" bestFit="1" customWidth="1"/>
    <col min="94" max="94" width="17.5703125" bestFit="1" customWidth="1"/>
    <col min="95" max="95" width="17.5703125" customWidth="1"/>
    <col min="96" max="96" width="12" bestFit="1" customWidth="1"/>
    <col min="97" max="97" width="10.85546875" bestFit="1" customWidth="1"/>
    <col min="98" max="98" width="11.140625" bestFit="1" customWidth="1"/>
    <col min="99" max="99" width="10.5703125" bestFit="1" customWidth="1"/>
    <col min="100" max="100" width="14.85546875" bestFit="1" customWidth="1"/>
    <col min="101" max="101" width="12.85546875" bestFit="1" customWidth="1"/>
    <col min="102" max="102" width="12" bestFit="1" customWidth="1"/>
    <col min="103" max="103" width="16.140625" bestFit="1" customWidth="1"/>
    <col min="104" max="104" width="11.42578125" bestFit="1" customWidth="1"/>
    <col min="105" max="105" width="19.85546875" bestFit="1" customWidth="1"/>
    <col min="106" max="106" width="13.85546875" bestFit="1" customWidth="1"/>
    <col min="107" max="107" width="16.28515625" bestFit="1" customWidth="1"/>
    <col min="108" max="108" width="16.85546875" bestFit="1" customWidth="1"/>
    <col min="109" max="109" width="12.42578125" bestFit="1" customWidth="1"/>
    <col min="110" max="110" width="14.28515625" bestFit="1" customWidth="1"/>
    <col min="111" max="111" width="11" bestFit="1" customWidth="1"/>
    <col min="112" max="112" width="17.28515625" bestFit="1" customWidth="1"/>
    <col min="113" max="113" width="15.42578125" bestFit="1" customWidth="1"/>
    <col min="114" max="114" width="11.140625" bestFit="1" customWidth="1"/>
    <col min="115" max="115" width="11.42578125" bestFit="1" customWidth="1"/>
    <col min="116" max="116" width="11" bestFit="1" customWidth="1"/>
  </cols>
  <sheetData>
    <row r="1" spans="1:121" s="50" customFormat="1" ht="16.5" customHeight="1" x14ac:dyDescent="0.25">
      <c r="B1" s="52" t="s">
        <v>303</v>
      </c>
      <c r="C1" s="88" t="s">
        <v>7</v>
      </c>
      <c r="D1" s="88" t="s">
        <v>11</v>
      </c>
      <c r="E1" s="89" t="s">
        <v>14</v>
      </c>
      <c r="F1" s="89" t="s">
        <v>16</v>
      </c>
      <c r="G1" s="89" t="s">
        <v>18</v>
      </c>
      <c r="H1" s="89" t="s">
        <v>20</v>
      </c>
      <c r="I1" s="89" t="s">
        <v>24</v>
      </c>
      <c r="J1" s="89" t="s">
        <v>27</v>
      </c>
      <c r="K1" s="90" t="s">
        <v>30</v>
      </c>
      <c r="L1" s="90" t="s">
        <v>33</v>
      </c>
      <c r="M1" s="90" t="s">
        <v>36</v>
      </c>
      <c r="N1" s="90" t="s">
        <v>39</v>
      </c>
      <c r="O1" s="91" t="s">
        <v>42</v>
      </c>
      <c r="P1" s="90" t="s">
        <v>45</v>
      </c>
      <c r="Q1" s="90" t="s">
        <v>48</v>
      </c>
      <c r="R1" s="90" t="s">
        <v>51</v>
      </c>
      <c r="S1" s="90" t="s">
        <v>54</v>
      </c>
      <c r="T1" s="92" t="s">
        <v>56</v>
      </c>
      <c r="U1" s="92" t="s">
        <v>58</v>
      </c>
      <c r="V1" s="92" t="s">
        <v>61</v>
      </c>
      <c r="W1" s="92" t="s">
        <v>64</v>
      </c>
      <c r="X1" s="93" t="s">
        <v>66</v>
      </c>
      <c r="Y1" s="93" t="s">
        <v>312</v>
      </c>
      <c r="Z1" s="94" t="s">
        <v>69</v>
      </c>
      <c r="AA1" s="94" t="s">
        <v>71</v>
      </c>
      <c r="AB1" s="95" t="s">
        <v>73</v>
      </c>
      <c r="AC1" s="96" t="s">
        <v>76</v>
      </c>
      <c r="AD1" s="97" t="s">
        <v>79</v>
      </c>
      <c r="AE1" s="96" t="s">
        <v>81</v>
      </c>
      <c r="AF1" s="96" t="s">
        <v>83</v>
      </c>
      <c r="AG1" s="96" t="s">
        <v>85</v>
      </c>
      <c r="AH1" s="98" t="s">
        <v>88</v>
      </c>
      <c r="AI1" s="99" t="s">
        <v>91</v>
      </c>
      <c r="AJ1" s="99" t="s">
        <v>4</v>
      </c>
      <c r="AK1" s="99" t="s">
        <v>96</v>
      </c>
      <c r="AL1" s="100" t="s">
        <v>313</v>
      </c>
      <c r="AM1" s="101" t="s">
        <v>98</v>
      </c>
      <c r="AN1" s="102" t="s">
        <v>101</v>
      </c>
      <c r="AO1" s="102" t="s">
        <v>104</v>
      </c>
      <c r="AP1" s="102" t="s">
        <v>107</v>
      </c>
      <c r="AQ1" s="102" t="s">
        <v>110</v>
      </c>
      <c r="AR1" s="102" t="s">
        <v>113</v>
      </c>
      <c r="AS1" s="28" t="s">
        <v>116</v>
      </c>
      <c r="AT1" s="103" t="s">
        <v>119</v>
      </c>
      <c r="AU1" s="103" t="s">
        <v>121</v>
      </c>
      <c r="AV1" s="103" t="s">
        <v>123</v>
      </c>
      <c r="AW1" s="103" t="s">
        <v>125</v>
      </c>
      <c r="AX1" s="103" t="s">
        <v>128</v>
      </c>
      <c r="AY1" s="104" t="s">
        <v>131</v>
      </c>
      <c r="AZ1" s="104" t="s">
        <v>134</v>
      </c>
      <c r="BA1" s="104" t="s">
        <v>137</v>
      </c>
      <c r="BB1" s="104" t="s">
        <v>140</v>
      </c>
      <c r="BC1" s="104" t="s">
        <v>143</v>
      </c>
      <c r="BD1" s="75" t="s">
        <v>309</v>
      </c>
      <c r="BE1" s="105" t="s">
        <v>146</v>
      </c>
      <c r="BF1" s="105" t="s">
        <v>148</v>
      </c>
      <c r="BG1" s="105" t="s">
        <v>151</v>
      </c>
      <c r="BH1" s="106" t="s">
        <v>154</v>
      </c>
      <c r="BI1" s="107" t="s">
        <v>156</v>
      </c>
      <c r="BJ1" s="107" t="s">
        <v>158</v>
      </c>
      <c r="BK1" s="108" t="s">
        <v>161</v>
      </c>
      <c r="BL1" s="107" t="s">
        <v>164</v>
      </c>
      <c r="BM1" s="107" t="s">
        <v>167</v>
      </c>
      <c r="BN1" s="107" t="s">
        <v>169</v>
      </c>
      <c r="BO1" s="107" t="s">
        <v>172</v>
      </c>
      <c r="BP1" s="109" t="s">
        <v>175</v>
      </c>
      <c r="BQ1" s="107" t="s">
        <v>177</v>
      </c>
      <c r="BR1" s="110" t="s">
        <v>180</v>
      </c>
      <c r="BS1" s="110" t="s">
        <v>183</v>
      </c>
      <c r="BT1" s="110" t="s">
        <v>186</v>
      </c>
      <c r="BU1" s="110" t="s">
        <v>189</v>
      </c>
      <c r="BV1" s="111" t="s">
        <v>192</v>
      </c>
      <c r="BW1" s="111" t="s">
        <v>195</v>
      </c>
      <c r="BX1" s="111" t="s">
        <v>198</v>
      </c>
      <c r="BY1" s="111" t="s">
        <v>201</v>
      </c>
      <c r="BZ1" s="111" t="s">
        <v>204</v>
      </c>
      <c r="CA1" s="112" t="s">
        <v>207</v>
      </c>
      <c r="CB1" s="112" t="s">
        <v>210</v>
      </c>
      <c r="CC1" s="112" t="s">
        <v>213</v>
      </c>
      <c r="CD1" s="112" t="s">
        <v>216</v>
      </c>
      <c r="CE1" s="112" t="s">
        <v>218</v>
      </c>
      <c r="CF1" s="112" t="s">
        <v>221</v>
      </c>
      <c r="CG1" s="112" t="s">
        <v>223</v>
      </c>
      <c r="CH1" s="112" t="s">
        <v>226</v>
      </c>
      <c r="CI1" s="113" t="s">
        <v>229</v>
      </c>
      <c r="CJ1" s="112" t="s">
        <v>311</v>
      </c>
      <c r="CK1" s="114" t="s">
        <v>232</v>
      </c>
      <c r="CL1" s="112" t="s">
        <v>234</v>
      </c>
      <c r="CM1" s="112" t="s">
        <v>237</v>
      </c>
      <c r="CN1" s="112" t="s">
        <v>240</v>
      </c>
      <c r="CO1" s="112" t="s">
        <v>243</v>
      </c>
      <c r="CP1" s="112" t="s">
        <v>246</v>
      </c>
      <c r="CQ1" s="112" t="s">
        <v>310</v>
      </c>
      <c r="CR1" s="115" t="s">
        <v>249</v>
      </c>
      <c r="CS1" s="115" t="s">
        <v>251</v>
      </c>
      <c r="CT1" s="115" t="s">
        <v>254</v>
      </c>
      <c r="CU1" s="115" t="s">
        <v>257</v>
      </c>
      <c r="CV1" s="116" t="s">
        <v>260</v>
      </c>
      <c r="CW1" s="117" t="s">
        <v>263</v>
      </c>
      <c r="CX1" s="116" t="s">
        <v>266</v>
      </c>
      <c r="CY1" s="116" t="s">
        <v>269</v>
      </c>
      <c r="CZ1" s="116" t="s">
        <v>272</v>
      </c>
      <c r="DA1" s="118" t="s">
        <v>275</v>
      </c>
      <c r="DB1" s="118" t="s">
        <v>277</v>
      </c>
      <c r="DC1" s="119" t="s">
        <v>279</v>
      </c>
      <c r="DD1" s="118" t="s">
        <v>282</v>
      </c>
      <c r="DE1" s="120" t="s">
        <v>284</v>
      </c>
      <c r="DF1" s="121" t="s">
        <v>287</v>
      </c>
      <c r="DG1" s="121" t="s">
        <v>290</v>
      </c>
      <c r="DH1" s="121" t="s">
        <v>292</v>
      </c>
      <c r="DI1" s="122" t="s">
        <v>294</v>
      </c>
      <c r="DJ1" s="122" t="s">
        <v>297</v>
      </c>
      <c r="DK1" s="122" t="s">
        <v>299</v>
      </c>
      <c r="DL1" s="123" t="s">
        <v>301</v>
      </c>
    </row>
    <row r="2" spans="1:121" x14ac:dyDescent="0.25">
      <c r="A2" s="64" t="s">
        <v>7</v>
      </c>
      <c r="B2" s="53">
        <f>SUM(C2:DL2)</f>
        <v>2</v>
      </c>
      <c r="C2" s="46">
        <v>0</v>
      </c>
      <c r="D2" s="46">
        <v>1</v>
      </c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46"/>
      <c r="CF2" s="46"/>
      <c r="CG2" s="46"/>
      <c r="CH2" s="46"/>
      <c r="CI2" s="46"/>
      <c r="CJ2" s="46"/>
      <c r="CK2" s="46"/>
      <c r="CL2" s="46"/>
      <c r="CM2" s="46"/>
      <c r="CN2" s="46"/>
      <c r="CO2" s="46"/>
      <c r="CP2" s="46"/>
      <c r="CQ2" s="46"/>
      <c r="CR2" s="46"/>
      <c r="CS2" s="46"/>
      <c r="CT2" s="46"/>
      <c r="CU2" s="46"/>
      <c r="CV2" s="46"/>
      <c r="CW2" s="46"/>
      <c r="CX2" s="46"/>
      <c r="CY2" s="46"/>
      <c r="CZ2" s="46"/>
      <c r="DA2" s="46"/>
      <c r="DB2" s="46"/>
      <c r="DC2" s="46"/>
      <c r="DD2" s="46"/>
      <c r="DE2" s="46"/>
      <c r="DF2" s="46"/>
      <c r="DG2" s="46"/>
      <c r="DH2" s="46"/>
      <c r="DI2" s="46"/>
      <c r="DJ2" s="46"/>
      <c r="DK2" s="46">
        <v>1</v>
      </c>
      <c r="DL2" s="46"/>
    </row>
    <row r="3" spans="1:121" x14ac:dyDescent="0.25">
      <c r="A3" s="64" t="s">
        <v>11</v>
      </c>
      <c r="B3" s="53">
        <f>SUM(C3:DL3)</f>
        <v>2</v>
      </c>
      <c r="C3" s="46">
        <v>1</v>
      </c>
      <c r="D3" s="46">
        <v>0</v>
      </c>
      <c r="E3" s="46">
        <v>1</v>
      </c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  <c r="CA3" s="46"/>
      <c r="CB3" s="46"/>
      <c r="CC3" s="46"/>
      <c r="CD3" s="46"/>
      <c r="CE3" s="46"/>
      <c r="CF3" s="46"/>
      <c r="CG3" s="46"/>
      <c r="CH3" s="46"/>
      <c r="CI3" s="46"/>
      <c r="CJ3" s="46"/>
      <c r="CK3" s="46"/>
      <c r="CL3" s="46"/>
      <c r="CM3" s="46"/>
      <c r="CN3" s="46"/>
      <c r="CO3" s="46"/>
      <c r="CP3" s="46"/>
      <c r="CQ3" s="46"/>
      <c r="CR3" s="46"/>
      <c r="CS3" s="46"/>
      <c r="CT3" s="46"/>
      <c r="CU3" s="46"/>
      <c r="CV3" s="46"/>
      <c r="CW3" s="46"/>
      <c r="CX3" s="46"/>
      <c r="CY3" s="46"/>
      <c r="CZ3" s="46"/>
      <c r="DA3" s="46"/>
      <c r="DB3" s="46"/>
      <c r="DC3" s="46"/>
      <c r="DD3" s="46"/>
      <c r="DE3" s="46"/>
      <c r="DF3" s="46"/>
      <c r="DG3" s="46"/>
      <c r="DH3" s="46"/>
      <c r="DI3" s="46"/>
      <c r="DJ3" s="46"/>
      <c r="DK3" s="46"/>
      <c r="DL3" s="46"/>
    </row>
    <row r="4" spans="1:121" x14ac:dyDescent="0.25">
      <c r="A4" s="33" t="s">
        <v>14</v>
      </c>
      <c r="B4" s="53">
        <f>SUM(C4:DL4)</f>
        <v>2</v>
      </c>
      <c r="C4" s="46"/>
      <c r="D4" s="46">
        <v>1</v>
      </c>
      <c r="E4" s="46">
        <v>0</v>
      </c>
      <c r="F4" s="46"/>
      <c r="G4" s="46"/>
      <c r="H4" s="46">
        <v>1</v>
      </c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  <c r="BY4" s="46"/>
      <c r="BZ4" s="46"/>
      <c r="CA4" s="46"/>
      <c r="CB4" s="46"/>
      <c r="CC4" s="46"/>
      <c r="CD4" s="46"/>
      <c r="CE4" s="46"/>
      <c r="CF4" s="46"/>
      <c r="CG4" s="46"/>
      <c r="CH4" s="46"/>
      <c r="CI4" s="46"/>
      <c r="CJ4" s="46"/>
      <c r="CK4" s="46"/>
      <c r="CL4" s="46"/>
      <c r="CM4" s="46"/>
      <c r="CN4" s="46"/>
      <c r="CO4" s="46"/>
      <c r="CP4" s="46"/>
      <c r="CQ4" s="46"/>
      <c r="CR4" s="46"/>
      <c r="CS4" s="46"/>
      <c r="CT4" s="46"/>
      <c r="CU4" s="46"/>
      <c r="CV4" s="46"/>
      <c r="CW4" s="46"/>
      <c r="CX4" s="46"/>
      <c r="CY4" s="46"/>
      <c r="CZ4" s="46"/>
      <c r="DA4" s="46"/>
      <c r="DB4" s="46"/>
      <c r="DC4" s="46"/>
      <c r="DD4" s="46"/>
      <c r="DE4" s="46"/>
      <c r="DF4" s="46"/>
      <c r="DG4" s="46"/>
      <c r="DH4" s="46"/>
      <c r="DI4" s="46"/>
      <c r="DJ4" s="46"/>
      <c r="DK4" s="46"/>
      <c r="DL4" s="46"/>
    </row>
    <row r="5" spans="1:121" x14ac:dyDescent="0.25">
      <c r="A5" s="33" t="s">
        <v>16</v>
      </c>
      <c r="B5" s="53">
        <f>SUM(C5:DL5)</f>
        <v>2</v>
      </c>
      <c r="C5" s="46"/>
      <c r="D5" s="46"/>
      <c r="E5" s="46">
        <v>1</v>
      </c>
      <c r="F5" s="46">
        <v>0</v>
      </c>
      <c r="G5" s="46">
        <v>1</v>
      </c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6"/>
      <c r="DF5" s="46"/>
      <c r="DG5" s="46"/>
      <c r="DH5" s="46"/>
      <c r="DI5" s="46"/>
      <c r="DJ5" s="46"/>
      <c r="DK5" s="46"/>
      <c r="DL5" s="46"/>
    </row>
    <row r="6" spans="1:121" x14ac:dyDescent="0.25">
      <c r="A6" s="33" t="s">
        <v>18</v>
      </c>
      <c r="B6" s="53">
        <f>SUM(C6:DL6)</f>
        <v>7</v>
      </c>
      <c r="C6" s="46"/>
      <c r="D6" s="46"/>
      <c r="E6" s="46"/>
      <c r="F6" s="46">
        <v>1</v>
      </c>
      <c r="G6" s="46">
        <v>0</v>
      </c>
      <c r="H6" s="46"/>
      <c r="I6" s="46">
        <v>1</v>
      </c>
      <c r="J6" s="46">
        <v>1</v>
      </c>
      <c r="K6" s="46">
        <v>1</v>
      </c>
      <c r="L6" s="46"/>
      <c r="M6" s="46">
        <v>1</v>
      </c>
      <c r="N6" s="46">
        <v>1</v>
      </c>
      <c r="O6" s="46">
        <v>1</v>
      </c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</row>
    <row r="7" spans="1:121" x14ac:dyDescent="0.25">
      <c r="A7" s="33" t="s">
        <v>20</v>
      </c>
      <c r="B7" s="60" t="s">
        <v>21</v>
      </c>
      <c r="C7" s="46"/>
      <c r="D7" s="46"/>
      <c r="E7" s="46">
        <v>1</v>
      </c>
      <c r="F7" s="1">
        <v>1</v>
      </c>
      <c r="G7" s="46">
        <v>1</v>
      </c>
      <c r="H7" s="46">
        <v>0</v>
      </c>
      <c r="I7" s="46"/>
      <c r="J7" s="46">
        <v>1</v>
      </c>
      <c r="K7" s="46"/>
      <c r="L7" s="46"/>
      <c r="M7" s="46"/>
      <c r="N7" s="46"/>
      <c r="O7" s="46"/>
      <c r="P7" s="1"/>
      <c r="Q7" s="1"/>
      <c r="R7" s="1"/>
      <c r="S7" s="1"/>
      <c r="T7" s="47"/>
      <c r="U7" s="1"/>
      <c r="V7" s="1"/>
      <c r="W7" s="1"/>
      <c r="X7" s="1"/>
      <c r="Y7" s="1"/>
      <c r="Z7" s="1"/>
      <c r="AA7" s="1"/>
      <c r="AB7" s="1"/>
      <c r="AC7" s="1"/>
      <c r="AD7" s="1"/>
      <c r="AE7" s="46"/>
      <c r="AF7" s="48"/>
      <c r="AG7" s="1"/>
      <c r="AH7" s="14"/>
      <c r="AI7" s="47"/>
      <c r="AJ7" s="1"/>
      <c r="AK7" s="1"/>
      <c r="AL7" s="1"/>
      <c r="AM7" s="1"/>
      <c r="AN7" s="47"/>
      <c r="AO7" s="1"/>
      <c r="AP7" s="1"/>
      <c r="AQ7" s="1"/>
      <c r="AR7" s="47"/>
      <c r="AS7" s="1"/>
      <c r="AT7" s="1"/>
      <c r="AU7" s="1"/>
      <c r="AV7" s="1"/>
      <c r="AW7" s="1"/>
      <c r="AX7" s="46"/>
      <c r="AY7" s="46"/>
      <c r="AZ7" s="46"/>
      <c r="BA7" s="46"/>
      <c r="BB7" s="46"/>
      <c r="BC7" s="46"/>
      <c r="BD7" s="46"/>
      <c r="BE7" s="1"/>
      <c r="BF7" s="1"/>
      <c r="BG7" s="1"/>
      <c r="BH7" s="1"/>
      <c r="BI7" s="1"/>
      <c r="BJ7" s="1"/>
      <c r="BK7" s="14"/>
      <c r="BL7" s="14"/>
      <c r="BM7" s="14"/>
      <c r="BN7" s="1"/>
      <c r="BO7" s="1"/>
      <c r="BP7" s="49"/>
      <c r="BQ7" s="1"/>
      <c r="BR7" s="1"/>
      <c r="BS7" s="1"/>
      <c r="BT7" s="1"/>
      <c r="BU7" s="14"/>
      <c r="BV7" s="1"/>
      <c r="BW7" s="14"/>
      <c r="BX7" s="14"/>
      <c r="BY7" s="14"/>
      <c r="BZ7" s="14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47"/>
      <c r="CQ7" s="26"/>
      <c r="CR7" s="62"/>
      <c r="CS7" s="1"/>
      <c r="CT7" s="1"/>
      <c r="CU7" s="1"/>
      <c r="CV7" s="1"/>
      <c r="CW7" s="1"/>
      <c r="CX7" s="1"/>
      <c r="CY7" s="1"/>
      <c r="CZ7" s="1"/>
      <c r="DA7" s="1"/>
      <c r="DB7" s="47"/>
      <c r="DC7" s="1"/>
      <c r="DD7" s="1"/>
      <c r="DE7" s="1"/>
      <c r="DF7" s="1"/>
      <c r="DG7" s="1"/>
      <c r="DH7" s="47"/>
      <c r="DI7" s="1"/>
      <c r="DJ7" s="49"/>
      <c r="DK7" s="1"/>
      <c r="DL7" s="1"/>
      <c r="DM7" s="26"/>
      <c r="DN7" s="26"/>
      <c r="DO7" s="26"/>
      <c r="DP7" s="26"/>
      <c r="DQ7" s="26"/>
    </row>
    <row r="8" spans="1:121" x14ac:dyDescent="0.25">
      <c r="A8" s="33" t="s">
        <v>24</v>
      </c>
      <c r="B8" s="53">
        <f t="shared" ref="B8:B39" si="0">SUM(C8:DL8)</f>
        <v>5</v>
      </c>
      <c r="C8" s="46"/>
      <c r="D8" s="46"/>
      <c r="E8" s="46"/>
      <c r="F8" s="1"/>
      <c r="G8" s="46">
        <v>1</v>
      </c>
      <c r="H8" s="46"/>
      <c r="I8" s="46">
        <v>0</v>
      </c>
      <c r="J8" s="46"/>
      <c r="K8" s="46">
        <v>1</v>
      </c>
      <c r="L8" s="46"/>
      <c r="M8" s="46">
        <v>1</v>
      </c>
      <c r="N8" s="46">
        <v>1</v>
      </c>
      <c r="O8" s="46">
        <v>1</v>
      </c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46"/>
      <c r="CD8" s="46"/>
      <c r="CE8" s="46"/>
      <c r="CF8" s="46"/>
      <c r="CG8" s="46"/>
      <c r="CH8" s="46"/>
      <c r="CI8" s="46"/>
      <c r="CJ8" s="46"/>
      <c r="CK8" s="46"/>
      <c r="CL8" s="46"/>
      <c r="CM8" s="46"/>
      <c r="CN8" s="46"/>
      <c r="CO8" s="46"/>
      <c r="CP8" s="46"/>
      <c r="CQ8" s="46"/>
      <c r="CR8" s="46"/>
      <c r="CS8" s="46"/>
      <c r="CT8" s="46"/>
      <c r="CU8" s="46"/>
      <c r="CV8" s="46"/>
      <c r="CW8" s="46"/>
      <c r="CX8" s="46"/>
      <c r="CY8" s="46"/>
      <c r="CZ8" s="46"/>
      <c r="DA8" s="46"/>
      <c r="DB8" s="46"/>
      <c r="DC8" s="46"/>
      <c r="DD8" s="46"/>
      <c r="DE8" s="46"/>
      <c r="DF8" s="46"/>
      <c r="DG8" s="46"/>
      <c r="DH8" s="46"/>
      <c r="DI8" s="46"/>
      <c r="DJ8" s="46"/>
      <c r="DK8" s="46"/>
      <c r="DL8" s="46"/>
    </row>
    <row r="9" spans="1:121" x14ac:dyDescent="0.25">
      <c r="A9" s="33" t="s">
        <v>27</v>
      </c>
      <c r="B9" s="53">
        <f t="shared" si="0"/>
        <v>6</v>
      </c>
      <c r="C9" s="46"/>
      <c r="D9" s="46"/>
      <c r="E9" s="46"/>
      <c r="F9" s="46">
        <v>1</v>
      </c>
      <c r="G9" s="46">
        <v>1</v>
      </c>
      <c r="H9" s="46"/>
      <c r="I9" s="46"/>
      <c r="J9" s="46">
        <v>0</v>
      </c>
      <c r="K9" s="46"/>
      <c r="L9" s="46"/>
      <c r="M9" s="46"/>
      <c r="N9" s="46"/>
      <c r="O9" s="46">
        <v>1</v>
      </c>
      <c r="P9" s="46">
        <v>1</v>
      </c>
      <c r="Q9" s="46">
        <v>1</v>
      </c>
      <c r="R9" s="46"/>
      <c r="S9" s="46"/>
      <c r="T9" s="46"/>
      <c r="U9" s="46"/>
      <c r="V9" s="46"/>
      <c r="W9" s="46"/>
      <c r="X9" s="46">
        <v>1</v>
      </c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  <c r="DK9" s="46"/>
      <c r="DL9" s="46"/>
    </row>
    <row r="10" spans="1:121" x14ac:dyDescent="0.25">
      <c r="A10" s="65" t="s">
        <v>30</v>
      </c>
      <c r="B10" s="53">
        <f t="shared" si="0"/>
        <v>5</v>
      </c>
      <c r="C10" s="46"/>
      <c r="D10" s="46"/>
      <c r="E10" s="46"/>
      <c r="F10" s="46"/>
      <c r="G10" s="46"/>
      <c r="H10" s="46"/>
      <c r="I10" s="46">
        <v>1</v>
      </c>
      <c r="J10" s="46"/>
      <c r="K10" s="46">
        <v>0</v>
      </c>
      <c r="L10" s="46"/>
      <c r="M10" s="46">
        <v>1</v>
      </c>
      <c r="N10" s="46"/>
      <c r="O10" s="46"/>
      <c r="P10" s="46"/>
      <c r="Q10" s="46"/>
      <c r="R10" s="46"/>
      <c r="S10" s="46">
        <v>1</v>
      </c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>
        <v>1</v>
      </c>
      <c r="AR10" s="46">
        <v>1</v>
      </c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  <c r="DK10" s="46"/>
      <c r="DL10" s="46"/>
    </row>
    <row r="11" spans="1:121" x14ac:dyDescent="0.25">
      <c r="A11" s="65" t="s">
        <v>33</v>
      </c>
      <c r="B11" s="53">
        <f t="shared" si="0"/>
        <v>5</v>
      </c>
      <c r="C11" s="46"/>
      <c r="D11" s="46"/>
      <c r="E11" s="46"/>
      <c r="F11" s="46"/>
      <c r="G11" s="46">
        <v>1</v>
      </c>
      <c r="H11" s="46"/>
      <c r="I11" s="46">
        <v>1</v>
      </c>
      <c r="J11" s="46"/>
      <c r="K11" s="46"/>
      <c r="L11" s="46">
        <v>0</v>
      </c>
      <c r="M11" s="46"/>
      <c r="N11" s="46">
        <v>1</v>
      </c>
      <c r="O11" s="46">
        <v>1</v>
      </c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>
        <v>1</v>
      </c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46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  <c r="DK11" s="46"/>
      <c r="DL11" s="46"/>
    </row>
    <row r="12" spans="1:121" x14ac:dyDescent="0.25">
      <c r="A12" s="65" t="s">
        <v>36</v>
      </c>
      <c r="B12" s="53">
        <f t="shared" si="0"/>
        <v>7</v>
      </c>
      <c r="C12" s="46"/>
      <c r="D12" s="46"/>
      <c r="E12" s="46"/>
      <c r="F12" s="46"/>
      <c r="G12" s="46">
        <v>1</v>
      </c>
      <c r="H12" s="46"/>
      <c r="I12" s="46">
        <v>1</v>
      </c>
      <c r="J12" s="46"/>
      <c r="K12" s="46">
        <v>1</v>
      </c>
      <c r="L12" s="46">
        <v>1</v>
      </c>
      <c r="M12" s="46">
        <v>0</v>
      </c>
      <c r="N12" s="46">
        <v>1</v>
      </c>
      <c r="O12" s="46"/>
      <c r="P12" s="46"/>
      <c r="Q12" s="46"/>
      <c r="R12" s="46"/>
      <c r="S12" s="46">
        <v>1</v>
      </c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>
        <v>1</v>
      </c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46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  <c r="DK12" s="46"/>
      <c r="DL12" s="46"/>
    </row>
    <row r="13" spans="1:121" x14ac:dyDescent="0.25">
      <c r="A13" s="65" t="s">
        <v>39</v>
      </c>
      <c r="B13" s="53">
        <f t="shared" si="0"/>
        <v>6</v>
      </c>
      <c r="C13" s="46"/>
      <c r="D13" s="46"/>
      <c r="E13" s="46"/>
      <c r="F13" s="46"/>
      <c r="G13" s="46">
        <v>1</v>
      </c>
      <c r="H13" s="46"/>
      <c r="I13" s="46">
        <v>1</v>
      </c>
      <c r="J13" s="46"/>
      <c r="K13" s="46"/>
      <c r="L13" s="46">
        <v>1</v>
      </c>
      <c r="M13" s="46">
        <v>1</v>
      </c>
      <c r="N13" s="46">
        <v>0</v>
      </c>
      <c r="O13" s="46">
        <v>1</v>
      </c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>
        <v>1</v>
      </c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46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  <c r="DK13" s="46"/>
      <c r="DL13" s="46"/>
    </row>
    <row r="14" spans="1:121" x14ac:dyDescent="0.25">
      <c r="A14" s="65" t="s">
        <v>42</v>
      </c>
      <c r="B14" s="53">
        <f t="shared" si="0"/>
        <v>6</v>
      </c>
      <c r="C14" s="46"/>
      <c r="D14" s="46"/>
      <c r="E14" s="46"/>
      <c r="F14" s="46"/>
      <c r="G14" s="46">
        <v>1</v>
      </c>
      <c r="H14" s="46"/>
      <c r="I14" s="46">
        <v>1</v>
      </c>
      <c r="J14" s="46"/>
      <c r="K14" s="46"/>
      <c r="L14" s="46">
        <v>1</v>
      </c>
      <c r="M14" s="46"/>
      <c r="N14" s="46">
        <v>1</v>
      </c>
      <c r="O14" s="46">
        <v>0</v>
      </c>
      <c r="P14" s="46">
        <v>1</v>
      </c>
      <c r="Q14" s="46">
        <v>1</v>
      </c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46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  <c r="DK14" s="46"/>
      <c r="DL14" s="46"/>
    </row>
    <row r="15" spans="1:121" x14ac:dyDescent="0.25">
      <c r="A15" s="65" t="s">
        <v>45</v>
      </c>
      <c r="B15" s="53">
        <f t="shared" si="0"/>
        <v>4</v>
      </c>
      <c r="C15" s="46"/>
      <c r="D15" s="46"/>
      <c r="E15" s="46"/>
      <c r="F15" s="1"/>
      <c r="G15" s="46"/>
      <c r="H15" s="46"/>
      <c r="I15" s="46"/>
      <c r="J15" s="46"/>
      <c r="K15" s="46"/>
      <c r="L15" s="46"/>
      <c r="M15" s="46"/>
      <c r="N15" s="1"/>
      <c r="O15" s="46">
        <v>1</v>
      </c>
      <c r="P15" s="46">
        <v>0</v>
      </c>
      <c r="Q15" s="46">
        <v>1</v>
      </c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>
        <v>1</v>
      </c>
      <c r="AK15" s="46">
        <v>1</v>
      </c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  <c r="DK15" s="46"/>
      <c r="DL15" s="46"/>
    </row>
    <row r="16" spans="1:121" x14ac:dyDescent="0.25">
      <c r="A16" s="65" t="s">
        <v>48</v>
      </c>
      <c r="B16" s="53">
        <f t="shared" si="0"/>
        <v>4</v>
      </c>
      <c r="C16" s="46"/>
      <c r="D16" s="46"/>
      <c r="E16" s="46"/>
      <c r="F16" s="1"/>
      <c r="G16" s="46"/>
      <c r="H16" s="46"/>
      <c r="I16" s="46"/>
      <c r="J16" s="46"/>
      <c r="K16" s="46"/>
      <c r="L16" s="46"/>
      <c r="M16" s="46"/>
      <c r="N16" s="1"/>
      <c r="O16" s="46"/>
      <c r="P16" s="46">
        <v>1</v>
      </c>
      <c r="Q16" s="46">
        <v>0</v>
      </c>
      <c r="R16" s="46">
        <v>1</v>
      </c>
      <c r="S16" s="46"/>
      <c r="T16" s="46"/>
      <c r="U16" s="46">
        <v>1</v>
      </c>
      <c r="V16" s="46"/>
      <c r="W16" s="46"/>
      <c r="X16" s="46"/>
      <c r="Y16" s="46"/>
      <c r="Z16" s="46"/>
      <c r="AA16" s="46"/>
      <c r="AB16" s="46"/>
      <c r="AC16" s="46">
        <v>1</v>
      </c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46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  <c r="DK16" s="46"/>
      <c r="DL16" s="46"/>
    </row>
    <row r="17" spans="1:116" x14ac:dyDescent="0.25">
      <c r="A17" s="65" t="s">
        <v>51</v>
      </c>
      <c r="B17" s="53">
        <f t="shared" si="0"/>
        <v>7</v>
      </c>
      <c r="C17" s="46"/>
      <c r="D17" s="46"/>
      <c r="E17" s="46"/>
      <c r="F17" s="1"/>
      <c r="G17" s="46"/>
      <c r="H17" s="46"/>
      <c r="I17" s="46"/>
      <c r="J17" s="46"/>
      <c r="K17" s="46"/>
      <c r="L17" s="46"/>
      <c r="M17" s="46"/>
      <c r="N17" s="46"/>
      <c r="O17" s="46"/>
      <c r="P17" s="46">
        <v>1</v>
      </c>
      <c r="Q17" s="46">
        <v>1</v>
      </c>
      <c r="R17" s="46">
        <v>0</v>
      </c>
      <c r="S17" s="46"/>
      <c r="T17" s="46"/>
      <c r="U17" s="46">
        <v>1</v>
      </c>
      <c r="V17" s="46"/>
      <c r="W17" s="46"/>
      <c r="X17" s="46"/>
      <c r="Y17" s="46">
        <v>1</v>
      </c>
      <c r="Z17" s="46"/>
      <c r="AA17" s="46"/>
      <c r="AB17" s="46"/>
      <c r="AC17" s="46">
        <v>1</v>
      </c>
      <c r="AD17" s="46"/>
      <c r="AE17" s="46"/>
      <c r="AF17" s="46"/>
      <c r="AG17" s="46"/>
      <c r="AH17" s="46"/>
      <c r="AI17" s="46">
        <v>1</v>
      </c>
      <c r="AJ17" s="46"/>
      <c r="AK17" s="46">
        <v>1</v>
      </c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46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  <c r="DK17" s="46"/>
      <c r="DL17" s="46"/>
    </row>
    <row r="18" spans="1:116" x14ac:dyDescent="0.25">
      <c r="A18" s="65" t="s">
        <v>54</v>
      </c>
      <c r="B18" s="53">
        <f t="shared" si="0"/>
        <v>6</v>
      </c>
      <c r="C18" s="46"/>
      <c r="D18" s="46"/>
      <c r="E18" s="46"/>
      <c r="F18" s="1"/>
      <c r="G18" s="46"/>
      <c r="H18" s="46"/>
      <c r="I18" s="46"/>
      <c r="J18" s="46"/>
      <c r="K18" s="46">
        <v>1</v>
      </c>
      <c r="L18" s="46"/>
      <c r="M18" s="46"/>
      <c r="N18" s="46"/>
      <c r="O18" s="46"/>
      <c r="P18" s="46"/>
      <c r="Q18" s="46"/>
      <c r="R18" s="46"/>
      <c r="S18" s="46">
        <v>0</v>
      </c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>
        <v>1</v>
      </c>
      <c r="AI18" s="46"/>
      <c r="AJ18" s="46"/>
      <c r="AK18" s="46"/>
      <c r="AL18" s="46"/>
      <c r="AM18" s="46"/>
      <c r="AN18" s="46"/>
      <c r="AO18" s="46">
        <v>1</v>
      </c>
      <c r="AP18" s="46">
        <v>1</v>
      </c>
      <c r="AQ18" s="46">
        <v>1</v>
      </c>
      <c r="AR18" s="46">
        <v>1</v>
      </c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46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  <c r="DK18" s="46"/>
      <c r="DL18" s="46"/>
    </row>
    <row r="19" spans="1:116" x14ac:dyDescent="0.25">
      <c r="A19" s="66" t="s">
        <v>56</v>
      </c>
      <c r="B19" s="53">
        <f t="shared" si="0"/>
        <v>4</v>
      </c>
      <c r="C19" s="46"/>
      <c r="D19" s="46"/>
      <c r="E19" s="46"/>
      <c r="F19" s="47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>
        <v>0</v>
      </c>
      <c r="U19" s="46">
        <v>1</v>
      </c>
      <c r="V19" s="46">
        <v>1</v>
      </c>
      <c r="W19" s="46"/>
      <c r="X19" s="46"/>
      <c r="Y19" s="46">
        <v>1</v>
      </c>
      <c r="Z19" s="46"/>
      <c r="AA19" s="46"/>
      <c r="AB19" s="46"/>
      <c r="AC19" s="46">
        <v>1</v>
      </c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46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  <c r="DK19" s="46"/>
      <c r="DL19" s="46"/>
    </row>
    <row r="20" spans="1:116" x14ac:dyDescent="0.25">
      <c r="A20" s="66" t="s">
        <v>58</v>
      </c>
      <c r="B20" s="53">
        <f t="shared" si="0"/>
        <v>6</v>
      </c>
      <c r="C20" s="46"/>
      <c r="D20" s="46"/>
      <c r="E20" s="46"/>
      <c r="F20" s="1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>
        <v>1</v>
      </c>
      <c r="S20" s="46"/>
      <c r="T20" s="46">
        <v>1</v>
      </c>
      <c r="U20" s="46">
        <v>0</v>
      </c>
      <c r="V20" s="46">
        <v>1</v>
      </c>
      <c r="W20" s="46">
        <v>1</v>
      </c>
      <c r="X20" s="46">
        <v>1</v>
      </c>
      <c r="Y20" s="46">
        <v>1</v>
      </c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/>
      <c r="CY20" s="46"/>
      <c r="CZ20" s="46"/>
      <c r="DA20" s="46"/>
      <c r="DB20" s="46"/>
      <c r="DC20" s="46"/>
      <c r="DD20" s="46"/>
      <c r="DE20" s="46"/>
      <c r="DF20" s="46"/>
      <c r="DG20" s="46"/>
      <c r="DH20" s="46"/>
      <c r="DI20" s="46"/>
      <c r="DJ20" s="46"/>
      <c r="DK20" s="46"/>
      <c r="DL20" s="46"/>
    </row>
    <row r="21" spans="1:116" x14ac:dyDescent="0.25">
      <c r="A21" s="66" t="s">
        <v>61</v>
      </c>
      <c r="B21" s="55">
        <f t="shared" si="0"/>
        <v>4</v>
      </c>
      <c r="C21" s="46"/>
      <c r="D21" s="46"/>
      <c r="E21" s="46"/>
      <c r="F21" s="1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>
        <v>1</v>
      </c>
      <c r="U21" s="46"/>
      <c r="V21" s="46">
        <v>0</v>
      </c>
      <c r="W21" s="46">
        <v>1</v>
      </c>
      <c r="X21" s="46">
        <v>1</v>
      </c>
      <c r="Y21" s="46"/>
      <c r="Z21" s="46"/>
      <c r="AA21" s="46"/>
      <c r="AB21" s="46">
        <v>1</v>
      </c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C21" s="46"/>
      <c r="CD21" s="46"/>
      <c r="CE21" s="46"/>
      <c r="CF21" s="46"/>
      <c r="CG21" s="46"/>
      <c r="CH21" s="46"/>
      <c r="CI21" s="46"/>
      <c r="CJ21" s="46"/>
      <c r="CK21" s="46"/>
      <c r="CL21" s="46"/>
      <c r="CM21" s="46"/>
      <c r="CN21" s="46"/>
      <c r="CO21" s="46"/>
      <c r="CP21" s="46"/>
      <c r="CQ21" s="46"/>
      <c r="CR21" s="46"/>
      <c r="CS21" s="46"/>
      <c r="CT21" s="46"/>
      <c r="CU21" s="46"/>
      <c r="CV21" s="46"/>
      <c r="CW21" s="46"/>
      <c r="CX21" s="46"/>
      <c r="CY21" s="46"/>
      <c r="CZ21" s="46"/>
      <c r="DA21" s="46"/>
      <c r="DB21" s="46"/>
      <c r="DC21" s="46"/>
      <c r="DD21" s="46"/>
      <c r="DE21" s="46"/>
      <c r="DF21" s="46"/>
      <c r="DG21" s="46"/>
      <c r="DH21" s="46"/>
      <c r="DI21" s="46"/>
      <c r="DJ21" s="46"/>
      <c r="DK21" s="46"/>
      <c r="DL21" s="46"/>
    </row>
    <row r="22" spans="1:116" x14ac:dyDescent="0.25">
      <c r="A22" s="66" t="s">
        <v>64</v>
      </c>
      <c r="B22" s="57">
        <f t="shared" si="0"/>
        <v>5</v>
      </c>
      <c r="C22" s="54"/>
      <c r="D22" s="46"/>
      <c r="E22" s="46"/>
      <c r="F22" s="1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>
        <v>1</v>
      </c>
      <c r="V22" s="46">
        <v>1</v>
      </c>
      <c r="W22" s="46">
        <v>0</v>
      </c>
      <c r="X22" s="46"/>
      <c r="Y22" s="46">
        <v>1</v>
      </c>
      <c r="Z22" s="46"/>
      <c r="AA22" s="46"/>
      <c r="AB22" s="46">
        <v>1</v>
      </c>
      <c r="AC22" s="46"/>
      <c r="AD22" s="46"/>
      <c r="AE22" s="46"/>
      <c r="AF22" s="46"/>
      <c r="AG22" s="46">
        <v>1</v>
      </c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6"/>
      <c r="CR22" s="46"/>
      <c r="CS22" s="46"/>
      <c r="CT22" s="46"/>
      <c r="CU22" s="46"/>
      <c r="CV22" s="46"/>
      <c r="CW22" s="46"/>
      <c r="CX22" s="46"/>
      <c r="CY22" s="46"/>
      <c r="CZ22" s="46"/>
      <c r="DA22" s="46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</row>
    <row r="23" spans="1:116" x14ac:dyDescent="0.25">
      <c r="A23" s="67" t="s">
        <v>66</v>
      </c>
      <c r="B23" s="56">
        <f t="shared" si="0"/>
        <v>4</v>
      </c>
      <c r="C23" s="46"/>
      <c r="D23" s="46"/>
      <c r="E23" s="46"/>
      <c r="F23" s="1"/>
      <c r="G23" s="46"/>
      <c r="H23" s="46"/>
      <c r="I23" s="46"/>
      <c r="J23" s="46">
        <v>1</v>
      </c>
      <c r="K23" s="46"/>
      <c r="L23" s="46"/>
      <c r="M23" s="46"/>
      <c r="N23" s="46"/>
      <c r="O23" s="46"/>
      <c r="P23" s="46"/>
      <c r="Q23" s="46"/>
      <c r="R23" s="46"/>
      <c r="S23" s="46"/>
      <c r="T23" s="46">
        <v>1</v>
      </c>
      <c r="U23" s="46">
        <v>1</v>
      </c>
      <c r="V23" s="1">
        <v>1</v>
      </c>
      <c r="W23" s="46"/>
      <c r="X23" s="46">
        <v>0</v>
      </c>
      <c r="Y23" s="46"/>
      <c r="Z23" s="46"/>
      <c r="AA23" s="46"/>
      <c r="AB23" s="46"/>
      <c r="AC23" s="46"/>
      <c r="AD23" s="46"/>
      <c r="AE23" s="46"/>
      <c r="AF23" s="1"/>
      <c r="AG23" s="1"/>
      <c r="AH23" s="1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6"/>
      <c r="BR23" s="46"/>
      <c r="BS23" s="46"/>
      <c r="BT23" s="46"/>
      <c r="BU23" s="46"/>
      <c r="BV23" s="46"/>
      <c r="BW23" s="46"/>
      <c r="BX23" s="46"/>
      <c r="BY23" s="46"/>
      <c r="BZ23" s="46"/>
      <c r="CA23" s="46"/>
      <c r="CB23" s="46"/>
      <c r="CC23" s="46"/>
      <c r="CD23" s="46"/>
      <c r="CE23" s="46"/>
      <c r="CF23" s="46"/>
      <c r="CG23" s="46"/>
      <c r="CH23" s="46"/>
      <c r="CI23" s="46"/>
      <c r="CJ23" s="46"/>
      <c r="CK23" s="46"/>
      <c r="CL23" s="46"/>
      <c r="CM23" s="46"/>
      <c r="CN23" s="46"/>
      <c r="CO23" s="46"/>
      <c r="CP23" s="46"/>
      <c r="CQ23" s="46"/>
      <c r="CR23" s="46"/>
      <c r="CS23" s="46"/>
      <c r="CT23" s="46"/>
      <c r="CU23" s="46"/>
      <c r="CV23" s="46"/>
      <c r="CW23" s="46"/>
      <c r="CX23" s="46"/>
      <c r="CY23" s="46"/>
      <c r="CZ23" s="46"/>
      <c r="DA23" s="46"/>
      <c r="DB23" s="46"/>
      <c r="DC23" s="46"/>
      <c r="DD23" s="46"/>
      <c r="DE23" s="46"/>
      <c r="DF23" s="46"/>
      <c r="DG23" s="46"/>
      <c r="DH23" s="46"/>
      <c r="DI23" s="46"/>
      <c r="DJ23" s="46"/>
      <c r="DK23" s="46"/>
      <c r="DL23" s="46"/>
    </row>
    <row r="24" spans="1:116" x14ac:dyDescent="0.25">
      <c r="A24" s="68" t="s">
        <v>312</v>
      </c>
      <c r="B24" s="56">
        <f t="shared" si="0"/>
        <v>4</v>
      </c>
      <c r="C24" s="46"/>
      <c r="D24" s="46"/>
      <c r="E24" s="46"/>
      <c r="F24" s="1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>
        <v>1</v>
      </c>
      <c r="V24" s="1"/>
      <c r="W24" s="46">
        <v>1</v>
      </c>
      <c r="X24" s="46"/>
      <c r="Y24" s="46">
        <v>0</v>
      </c>
      <c r="Z24" s="46"/>
      <c r="AA24" s="46"/>
      <c r="AB24" s="46"/>
      <c r="AC24" s="46">
        <v>1</v>
      </c>
      <c r="AD24" s="46"/>
      <c r="AE24" s="46"/>
      <c r="AF24" s="1"/>
      <c r="AG24" s="1"/>
      <c r="AH24" s="1"/>
      <c r="AI24" s="46"/>
      <c r="AJ24" s="46"/>
      <c r="AK24" s="46"/>
      <c r="AL24" s="46">
        <v>1</v>
      </c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  <c r="BZ24" s="46"/>
      <c r="CA24" s="46"/>
      <c r="CB24" s="46"/>
      <c r="CC24" s="46"/>
      <c r="CD24" s="46"/>
      <c r="CE24" s="46"/>
      <c r="CF24" s="46"/>
      <c r="CG24" s="46"/>
      <c r="CH24" s="46"/>
      <c r="CI24" s="46"/>
      <c r="CJ24" s="46"/>
      <c r="CK24" s="46"/>
      <c r="CL24" s="46"/>
      <c r="CM24" s="46"/>
      <c r="CN24" s="46"/>
      <c r="CO24" s="46"/>
      <c r="CP24" s="46"/>
      <c r="CQ24" s="46"/>
      <c r="CR24" s="46"/>
      <c r="CS24" s="46"/>
      <c r="CT24" s="46"/>
      <c r="CU24" s="46"/>
      <c r="CV24" s="46"/>
      <c r="CW24" s="46"/>
      <c r="CX24" s="46"/>
      <c r="CY24" s="46"/>
      <c r="CZ24" s="46"/>
      <c r="DA24" s="46"/>
      <c r="DB24" s="46"/>
      <c r="DC24" s="46"/>
      <c r="DD24" s="46"/>
      <c r="DE24" s="46"/>
      <c r="DF24" s="46"/>
      <c r="DG24" s="46"/>
      <c r="DH24" s="46"/>
      <c r="DI24" s="46"/>
      <c r="DJ24" s="46"/>
      <c r="DK24" s="46"/>
      <c r="DL24" s="46"/>
    </row>
    <row r="25" spans="1:116" x14ac:dyDescent="0.25">
      <c r="A25" s="5" t="s">
        <v>69</v>
      </c>
      <c r="B25" s="53">
        <f t="shared" si="0"/>
        <v>2</v>
      </c>
      <c r="C25" s="46"/>
      <c r="D25" s="46"/>
      <c r="E25" s="46"/>
      <c r="F25" s="1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1"/>
      <c r="W25" s="46"/>
      <c r="X25" s="46"/>
      <c r="Y25" s="46"/>
      <c r="Z25" s="46">
        <v>0</v>
      </c>
      <c r="AA25" s="46">
        <v>1</v>
      </c>
      <c r="AB25" s="46">
        <v>1</v>
      </c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  <c r="BZ25" s="46"/>
      <c r="CA25" s="46"/>
      <c r="CB25" s="46"/>
      <c r="CC25" s="46"/>
      <c r="CD25" s="46"/>
      <c r="CE25" s="46"/>
      <c r="CF25" s="46"/>
      <c r="CG25" s="46"/>
      <c r="CH25" s="46"/>
      <c r="CI25" s="46"/>
      <c r="CJ25" s="46"/>
      <c r="CK25" s="46"/>
      <c r="CL25" s="46"/>
      <c r="CM25" s="46"/>
      <c r="CN25" s="46"/>
      <c r="CO25" s="46"/>
      <c r="CP25" s="46"/>
      <c r="CQ25" s="46"/>
      <c r="CR25" s="46"/>
      <c r="CS25" s="46"/>
      <c r="CT25" s="46"/>
      <c r="CU25" s="46"/>
      <c r="CV25" s="46"/>
      <c r="CW25" s="46"/>
      <c r="CX25" s="46"/>
      <c r="CY25" s="46"/>
      <c r="CZ25" s="46"/>
      <c r="DA25" s="46"/>
      <c r="DB25" s="46"/>
      <c r="DC25" s="46"/>
      <c r="DD25" s="46"/>
      <c r="DE25" s="46"/>
      <c r="DF25" s="46"/>
      <c r="DG25" s="46"/>
      <c r="DH25" s="46"/>
      <c r="DI25" s="46"/>
      <c r="DJ25" s="46"/>
      <c r="DK25" s="46"/>
      <c r="DL25" s="46"/>
    </row>
    <row r="26" spans="1:116" x14ac:dyDescent="0.25">
      <c r="A26" s="5" t="s">
        <v>71</v>
      </c>
      <c r="B26" s="53">
        <f t="shared" si="0"/>
        <v>2</v>
      </c>
      <c r="C26" s="46"/>
      <c r="D26" s="46"/>
      <c r="E26" s="46"/>
      <c r="F26" s="1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>
        <v>1</v>
      </c>
      <c r="AA26" s="46">
        <v>0</v>
      </c>
      <c r="AB26" s="46">
        <v>1</v>
      </c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  <c r="BY26" s="46"/>
      <c r="BZ26" s="46"/>
      <c r="CA26" s="46"/>
      <c r="CB26" s="46"/>
      <c r="CC26" s="46"/>
      <c r="CD26" s="46"/>
      <c r="CE26" s="46"/>
      <c r="CF26" s="46"/>
      <c r="CG26" s="46"/>
      <c r="CH26" s="46"/>
      <c r="CI26" s="46"/>
      <c r="CJ26" s="46"/>
      <c r="CK26" s="46"/>
      <c r="CL26" s="46"/>
      <c r="CM26" s="46"/>
      <c r="CN26" s="46"/>
      <c r="CO26" s="46"/>
      <c r="CP26" s="46"/>
      <c r="CQ26" s="46"/>
      <c r="CR26" s="46"/>
      <c r="CS26" s="46"/>
      <c r="CT26" s="46"/>
      <c r="CU26" s="46"/>
      <c r="CV26" s="46"/>
      <c r="CW26" s="46"/>
      <c r="CX26" s="46"/>
      <c r="CY26" s="46"/>
      <c r="CZ26" s="46"/>
      <c r="DA26" s="46"/>
      <c r="DB26" s="46"/>
      <c r="DC26" s="46"/>
      <c r="DD26" s="46"/>
      <c r="DE26" s="46"/>
      <c r="DF26" s="46"/>
      <c r="DG26" s="46"/>
      <c r="DH26" s="46"/>
      <c r="DI26" s="46"/>
      <c r="DJ26" s="46"/>
      <c r="DK26" s="46"/>
      <c r="DL26" s="46"/>
    </row>
    <row r="27" spans="1:116" x14ac:dyDescent="0.25">
      <c r="A27" s="5" t="s">
        <v>73</v>
      </c>
      <c r="B27" s="53">
        <f t="shared" si="0"/>
        <v>4</v>
      </c>
      <c r="C27" s="46"/>
      <c r="D27" s="46"/>
      <c r="E27" s="46"/>
      <c r="F27" s="1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>
        <v>1</v>
      </c>
      <c r="W27" s="46">
        <v>1</v>
      </c>
      <c r="X27" s="46"/>
      <c r="Y27" s="46"/>
      <c r="Z27" s="46">
        <v>1</v>
      </c>
      <c r="AA27" s="46">
        <v>1</v>
      </c>
      <c r="AB27" s="46">
        <v>0</v>
      </c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6"/>
      <c r="BV27" s="46"/>
      <c r="BW27" s="46"/>
      <c r="BX27" s="46"/>
      <c r="BY27" s="46"/>
      <c r="BZ27" s="46"/>
      <c r="CA27" s="46"/>
      <c r="CB27" s="46"/>
      <c r="CC27" s="46"/>
      <c r="CD27" s="46"/>
      <c r="CE27" s="46"/>
      <c r="CF27" s="46"/>
      <c r="CG27" s="46"/>
      <c r="CH27" s="46"/>
      <c r="CI27" s="46"/>
      <c r="CJ27" s="46"/>
      <c r="CK27" s="46"/>
      <c r="CL27" s="46"/>
      <c r="CM27" s="46"/>
      <c r="CN27" s="46"/>
      <c r="CO27" s="46"/>
      <c r="CP27" s="46"/>
      <c r="CQ27" s="46"/>
      <c r="CR27" s="46"/>
      <c r="CS27" s="46"/>
      <c r="CT27" s="46"/>
      <c r="CU27" s="46"/>
      <c r="CV27" s="46"/>
      <c r="CW27" s="46"/>
      <c r="CX27" s="46"/>
      <c r="CY27" s="46"/>
      <c r="CZ27" s="46"/>
      <c r="DA27" s="46"/>
      <c r="DB27" s="46"/>
      <c r="DC27" s="46"/>
      <c r="DD27" s="46"/>
      <c r="DE27" s="46"/>
      <c r="DF27" s="46"/>
      <c r="DG27" s="46"/>
      <c r="DH27" s="46"/>
      <c r="DI27" s="46"/>
      <c r="DJ27" s="46"/>
      <c r="DK27" s="46"/>
      <c r="DL27" s="46"/>
    </row>
    <row r="28" spans="1:116" x14ac:dyDescent="0.25">
      <c r="A28" s="69" t="s">
        <v>76</v>
      </c>
      <c r="B28" s="53">
        <f t="shared" si="0"/>
        <v>7</v>
      </c>
      <c r="C28" s="46"/>
      <c r="D28" s="46"/>
      <c r="E28" s="46"/>
      <c r="F28" s="1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>
        <v>1</v>
      </c>
      <c r="S28" s="46"/>
      <c r="T28" s="46"/>
      <c r="U28" s="46">
        <v>1</v>
      </c>
      <c r="V28" s="46"/>
      <c r="W28" s="46"/>
      <c r="X28" s="46"/>
      <c r="Y28" s="46">
        <v>1</v>
      </c>
      <c r="Z28" s="46"/>
      <c r="AA28" s="46"/>
      <c r="AB28" s="46"/>
      <c r="AC28" s="46">
        <v>0</v>
      </c>
      <c r="AD28" s="46"/>
      <c r="AE28" s="46"/>
      <c r="AF28" s="46"/>
      <c r="AG28" s="46"/>
      <c r="AH28" s="46"/>
      <c r="AI28" s="46">
        <v>1</v>
      </c>
      <c r="AJ28" s="46">
        <v>1</v>
      </c>
      <c r="AK28" s="46">
        <v>1</v>
      </c>
      <c r="AL28" s="46">
        <v>1</v>
      </c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46"/>
      <c r="CA28" s="46"/>
      <c r="CB28" s="46"/>
      <c r="CC28" s="46"/>
      <c r="CD28" s="46"/>
      <c r="CE28" s="46"/>
      <c r="CF28" s="46"/>
      <c r="CG28" s="46"/>
      <c r="CH28" s="46"/>
      <c r="CI28" s="46"/>
      <c r="CJ28" s="46"/>
      <c r="CK28" s="46"/>
      <c r="CL28" s="46"/>
      <c r="CM28" s="46"/>
      <c r="CN28" s="46"/>
      <c r="CO28" s="46"/>
      <c r="CP28" s="46"/>
      <c r="CQ28" s="46"/>
      <c r="CR28" s="46"/>
      <c r="CS28" s="46"/>
      <c r="CT28" s="46"/>
      <c r="CU28" s="46"/>
      <c r="CV28" s="46"/>
      <c r="CW28" s="46"/>
      <c r="CX28" s="46"/>
      <c r="CY28" s="46"/>
      <c r="CZ28" s="46"/>
      <c r="DA28" s="46"/>
      <c r="DB28" s="46"/>
      <c r="DC28" s="46"/>
      <c r="DD28" s="46"/>
      <c r="DE28" s="46"/>
      <c r="DF28" s="46"/>
      <c r="DG28" s="46"/>
      <c r="DH28" s="46"/>
      <c r="DI28" s="46"/>
      <c r="DJ28" s="46"/>
      <c r="DK28" s="46"/>
      <c r="DL28" s="46"/>
    </row>
    <row r="29" spans="1:116" x14ac:dyDescent="0.25">
      <c r="A29" s="70" t="s">
        <v>79</v>
      </c>
      <c r="B29" s="53">
        <f t="shared" si="0"/>
        <v>6</v>
      </c>
      <c r="C29" s="46"/>
      <c r="D29" s="46"/>
      <c r="E29" s="46"/>
      <c r="F29" s="1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>
        <v>0</v>
      </c>
      <c r="AE29" s="46">
        <v>1</v>
      </c>
      <c r="AF29" s="46">
        <v>1</v>
      </c>
      <c r="AG29" s="46">
        <v>1</v>
      </c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>
        <v>1</v>
      </c>
      <c r="AU29" s="46"/>
      <c r="AV29" s="46"/>
      <c r="AW29" s="46"/>
      <c r="AX29" s="46"/>
      <c r="AY29" s="46">
        <v>1</v>
      </c>
      <c r="AZ29" s="46">
        <v>1</v>
      </c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46"/>
      <c r="BZ29" s="46"/>
      <c r="CA29" s="46"/>
      <c r="CB29" s="46"/>
      <c r="CC29" s="46"/>
      <c r="CD29" s="46"/>
      <c r="CE29" s="46"/>
      <c r="CF29" s="46"/>
      <c r="CG29" s="46"/>
      <c r="CH29" s="46"/>
      <c r="CI29" s="46"/>
      <c r="CJ29" s="46"/>
      <c r="CK29" s="46"/>
      <c r="CL29" s="46"/>
      <c r="CM29" s="46"/>
      <c r="CN29" s="46"/>
      <c r="CO29" s="46"/>
      <c r="CP29" s="46"/>
      <c r="CQ29" s="46"/>
      <c r="CR29" s="46"/>
      <c r="CS29" s="46"/>
      <c r="CT29" s="46"/>
      <c r="CU29" s="46"/>
      <c r="CV29" s="46"/>
      <c r="CW29" s="46"/>
      <c r="CX29" s="46"/>
      <c r="CY29" s="46"/>
      <c r="CZ29" s="46"/>
      <c r="DA29" s="46"/>
      <c r="DB29" s="46"/>
      <c r="DC29" s="46"/>
      <c r="DD29" s="46"/>
      <c r="DE29" s="46"/>
      <c r="DF29" s="46"/>
      <c r="DG29" s="46"/>
      <c r="DH29" s="46"/>
      <c r="DI29" s="46"/>
      <c r="DJ29" s="46"/>
      <c r="DK29" s="46"/>
      <c r="DL29" s="46"/>
    </row>
    <row r="30" spans="1:116" x14ac:dyDescent="0.25">
      <c r="A30" s="69" t="s">
        <v>81</v>
      </c>
      <c r="B30" s="53">
        <f t="shared" si="0"/>
        <v>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>
        <v>1</v>
      </c>
      <c r="AE30" s="46">
        <v>0</v>
      </c>
      <c r="AF30" s="46">
        <v>1</v>
      </c>
      <c r="AG30" s="46">
        <v>1</v>
      </c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  <c r="CD30" s="46"/>
      <c r="CE30" s="46"/>
      <c r="CF30" s="46"/>
      <c r="CG30" s="46"/>
      <c r="CH30" s="46"/>
      <c r="CI30" s="46"/>
      <c r="CJ30" s="46"/>
      <c r="CK30" s="46"/>
      <c r="CL30" s="46"/>
      <c r="CM30" s="46"/>
      <c r="CN30" s="46"/>
      <c r="CO30" s="46"/>
      <c r="CP30" s="46"/>
      <c r="CQ30" s="46"/>
      <c r="CR30" s="46"/>
      <c r="CS30" s="46"/>
      <c r="CT30" s="46"/>
      <c r="CU30" s="46"/>
      <c r="CV30" s="46"/>
      <c r="CW30" s="46"/>
      <c r="CX30" s="46"/>
      <c r="CY30" s="46"/>
      <c r="CZ30" s="46"/>
      <c r="DA30" s="46"/>
      <c r="DB30" s="46"/>
      <c r="DC30" s="46"/>
      <c r="DD30" s="46"/>
      <c r="DE30" s="46"/>
      <c r="DF30" s="46"/>
      <c r="DG30" s="46"/>
      <c r="DH30" s="46"/>
      <c r="DI30" s="46"/>
      <c r="DJ30" s="46"/>
      <c r="DK30" s="46"/>
      <c r="DL30" s="46"/>
    </row>
    <row r="31" spans="1:116" x14ac:dyDescent="0.25">
      <c r="A31" s="69" t="s">
        <v>83</v>
      </c>
      <c r="B31" s="53">
        <f t="shared" si="0"/>
        <v>3</v>
      </c>
      <c r="C31" s="46"/>
      <c r="D31" s="46"/>
      <c r="E31" s="46"/>
      <c r="F31" s="48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1"/>
      <c r="W31" s="46"/>
      <c r="X31" s="46"/>
      <c r="Y31" s="46"/>
      <c r="Z31" s="46"/>
      <c r="AA31" s="46"/>
      <c r="AB31" s="46"/>
      <c r="AC31" s="46"/>
      <c r="AD31" s="46">
        <v>1</v>
      </c>
      <c r="AE31" s="46">
        <v>1</v>
      </c>
      <c r="AF31" s="46">
        <v>0</v>
      </c>
      <c r="AG31" s="46">
        <v>1</v>
      </c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  <c r="CD31" s="46"/>
      <c r="CE31" s="46"/>
      <c r="CF31" s="46"/>
      <c r="CG31" s="46"/>
      <c r="CH31" s="46"/>
      <c r="CI31" s="46"/>
      <c r="CJ31" s="46"/>
      <c r="CK31" s="46"/>
      <c r="CL31" s="46"/>
      <c r="CM31" s="46"/>
      <c r="CN31" s="46"/>
      <c r="CO31" s="46"/>
      <c r="CP31" s="46"/>
      <c r="CQ31" s="46"/>
      <c r="CR31" s="46"/>
      <c r="CS31" s="46"/>
      <c r="CT31" s="46"/>
      <c r="CU31" s="46"/>
      <c r="CV31" s="46"/>
      <c r="CW31" s="46"/>
      <c r="CX31" s="46"/>
      <c r="CY31" s="46"/>
      <c r="CZ31" s="46"/>
      <c r="DA31" s="46"/>
      <c r="DB31" s="46"/>
      <c r="DC31" s="46"/>
      <c r="DD31" s="46"/>
      <c r="DE31" s="46"/>
      <c r="DF31" s="46"/>
      <c r="DG31" s="46"/>
      <c r="DH31" s="46"/>
      <c r="DI31" s="46"/>
      <c r="DJ31" s="46"/>
      <c r="DK31" s="46"/>
      <c r="DL31" s="46"/>
    </row>
    <row r="32" spans="1:116" x14ac:dyDescent="0.25">
      <c r="A32" s="69" t="s">
        <v>85</v>
      </c>
      <c r="B32" s="53">
        <f t="shared" si="0"/>
        <v>6</v>
      </c>
      <c r="C32" s="46"/>
      <c r="D32" s="46"/>
      <c r="E32" s="46"/>
      <c r="F32" s="1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1"/>
      <c r="W32" s="46">
        <v>1</v>
      </c>
      <c r="X32" s="46"/>
      <c r="Y32" s="46">
        <v>1</v>
      </c>
      <c r="Z32" s="46"/>
      <c r="AA32" s="46"/>
      <c r="AB32" s="46"/>
      <c r="AC32" s="46">
        <v>1</v>
      </c>
      <c r="AD32" s="46">
        <v>1</v>
      </c>
      <c r="AE32" s="46">
        <v>1</v>
      </c>
      <c r="AF32" s="46">
        <v>1</v>
      </c>
      <c r="AG32" s="46">
        <v>0</v>
      </c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  <c r="CD32" s="46"/>
      <c r="CE32" s="46"/>
      <c r="CF32" s="46"/>
      <c r="CG32" s="46"/>
      <c r="CH32" s="46"/>
      <c r="CI32" s="46"/>
      <c r="CJ32" s="46"/>
      <c r="CK32" s="46"/>
      <c r="CL32" s="46"/>
      <c r="CM32" s="46"/>
      <c r="CN32" s="46"/>
      <c r="CO32" s="46"/>
      <c r="CP32" s="46"/>
      <c r="CQ32" s="46"/>
      <c r="CR32" s="46"/>
      <c r="CS32" s="46"/>
      <c r="CT32" s="46"/>
      <c r="CU32" s="46"/>
      <c r="CV32" s="46"/>
      <c r="CW32" s="46"/>
      <c r="CX32" s="46"/>
      <c r="CY32" s="46"/>
      <c r="CZ32" s="46"/>
      <c r="DA32" s="46"/>
      <c r="DB32" s="46"/>
      <c r="DC32" s="46"/>
      <c r="DD32" s="46"/>
      <c r="DE32" s="46"/>
      <c r="DF32" s="46"/>
      <c r="DG32" s="46"/>
      <c r="DH32" s="46"/>
      <c r="DI32" s="46"/>
      <c r="DJ32" s="46"/>
      <c r="DK32" s="46"/>
      <c r="DL32" s="46"/>
    </row>
    <row r="33" spans="1:116" x14ac:dyDescent="0.25">
      <c r="A33" s="71" t="s">
        <v>88</v>
      </c>
      <c r="B33" s="53">
        <f t="shared" si="0"/>
        <v>7</v>
      </c>
      <c r="C33" s="46"/>
      <c r="D33" s="46"/>
      <c r="E33" s="46"/>
      <c r="F33" s="14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1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>
        <v>0</v>
      </c>
      <c r="AI33" s="46"/>
      <c r="AJ33" s="46"/>
      <c r="AK33" s="46">
        <v>1</v>
      </c>
      <c r="AL33" s="46"/>
      <c r="AM33" s="46"/>
      <c r="AN33" s="46"/>
      <c r="AO33" s="46">
        <v>1</v>
      </c>
      <c r="AP33" s="46">
        <v>1</v>
      </c>
      <c r="AQ33" s="46">
        <v>1</v>
      </c>
      <c r="AR33" s="46"/>
      <c r="AS33" s="46"/>
      <c r="AT33" s="46"/>
      <c r="AU33" s="46"/>
      <c r="AV33" s="46"/>
      <c r="AW33" s="46"/>
      <c r="AX33" s="46"/>
      <c r="AY33" s="46">
        <v>1</v>
      </c>
      <c r="AZ33" s="46"/>
      <c r="BA33" s="46"/>
      <c r="BB33" s="46"/>
      <c r="BC33" s="46"/>
      <c r="BD33" s="46">
        <v>1</v>
      </c>
      <c r="BE33" s="46"/>
      <c r="BF33" s="46"/>
      <c r="BG33" s="46"/>
      <c r="BH33" s="46">
        <v>1</v>
      </c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  <c r="CD33" s="46"/>
      <c r="CE33" s="46"/>
      <c r="CF33" s="46"/>
      <c r="CG33" s="46"/>
      <c r="CH33" s="46"/>
      <c r="CI33" s="46"/>
      <c r="CJ33" s="46"/>
      <c r="CK33" s="46"/>
      <c r="CL33" s="46"/>
      <c r="CM33" s="46"/>
      <c r="CN33" s="46"/>
      <c r="CO33" s="46"/>
      <c r="CP33" s="46"/>
      <c r="CQ33" s="46"/>
      <c r="CR33" s="46"/>
      <c r="CS33" s="46"/>
      <c r="CT33" s="46"/>
      <c r="CU33" s="46"/>
      <c r="CV33" s="46"/>
      <c r="CW33" s="46"/>
      <c r="CX33" s="46"/>
      <c r="CY33" s="46"/>
      <c r="CZ33" s="46"/>
      <c r="DA33" s="46"/>
      <c r="DB33" s="46"/>
      <c r="DC33" s="46"/>
      <c r="DD33" s="46"/>
      <c r="DE33" s="46"/>
      <c r="DF33" s="46"/>
      <c r="DG33" s="46"/>
      <c r="DH33" s="46"/>
      <c r="DI33" s="46"/>
      <c r="DJ33" s="46"/>
      <c r="DK33" s="46"/>
      <c r="DL33" s="46"/>
    </row>
    <row r="34" spans="1:116" x14ac:dyDescent="0.25">
      <c r="A34" s="71" t="s">
        <v>91</v>
      </c>
      <c r="B34" s="53">
        <f t="shared" si="0"/>
        <v>10</v>
      </c>
      <c r="C34" s="46"/>
      <c r="D34" s="46"/>
      <c r="E34" s="46"/>
      <c r="F34" s="47"/>
      <c r="G34" s="46"/>
      <c r="H34" s="46"/>
      <c r="I34" s="46"/>
      <c r="J34" s="46"/>
      <c r="K34" s="46"/>
      <c r="L34" s="46"/>
      <c r="M34" s="46"/>
      <c r="N34" s="46"/>
      <c r="O34" s="46"/>
      <c r="P34" s="46">
        <v>1</v>
      </c>
      <c r="Q34" s="46"/>
      <c r="R34" s="46">
        <v>1</v>
      </c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>
        <v>1</v>
      </c>
      <c r="AG34" s="46">
        <v>1</v>
      </c>
      <c r="AH34" s="46">
        <v>1</v>
      </c>
      <c r="AI34" s="46">
        <v>0</v>
      </c>
      <c r="AJ34" s="46"/>
      <c r="AK34" s="46">
        <v>1</v>
      </c>
      <c r="AL34" s="46">
        <v>1</v>
      </c>
      <c r="AM34" s="46"/>
      <c r="AN34" s="46"/>
      <c r="AO34" s="46"/>
      <c r="AP34" s="46"/>
      <c r="AQ34" s="46"/>
      <c r="AR34" s="46"/>
      <c r="AS34" s="46"/>
      <c r="AT34" s="46">
        <v>1</v>
      </c>
      <c r="AU34" s="46"/>
      <c r="AV34" s="46"/>
      <c r="AW34" s="46"/>
      <c r="AX34" s="46"/>
      <c r="AY34" s="46">
        <v>1</v>
      </c>
      <c r="AZ34" s="46"/>
      <c r="BA34" s="46"/>
      <c r="BB34" s="46"/>
      <c r="BC34" s="46"/>
      <c r="BD34" s="46">
        <v>1</v>
      </c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46"/>
      <c r="CH34" s="46"/>
      <c r="CI34" s="46"/>
      <c r="CJ34" s="46"/>
      <c r="CK34" s="46"/>
      <c r="CL34" s="46"/>
      <c r="CM34" s="46"/>
      <c r="CN34" s="46"/>
      <c r="CO34" s="46"/>
      <c r="CP34" s="46"/>
      <c r="CQ34" s="46"/>
      <c r="CR34" s="46"/>
      <c r="CS34" s="46"/>
      <c r="CT34" s="46"/>
      <c r="CU34" s="46"/>
      <c r="CV34" s="46"/>
      <c r="CW34" s="46"/>
      <c r="CX34" s="46"/>
      <c r="CY34" s="46"/>
      <c r="CZ34" s="46"/>
      <c r="DA34" s="46"/>
      <c r="DB34" s="46"/>
      <c r="DC34" s="46"/>
      <c r="DD34" s="46"/>
      <c r="DE34" s="46"/>
      <c r="DF34" s="46"/>
      <c r="DG34" s="46"/>
      <c r="DH34" s="46"/>
      <c r="DI34" s="46"/>
      <c r="DJ34" s="46"/>
      <c r="DK34" s="46"/>
      <c r="DL34" s="46"/>
    </row>
    <row r="35" spans="1:116" x14ac:dyDescent="0.25">
      <c r="A35" s="71" t="s">
        <v>4</v>
      </c>
      <c r="B35" s="51">
        <f t="shared" si="0"/>
        <v>8</v>
      </c>
      <c r="C35" s="46"/>
      <c r="D35" s="46"/>
      <c r="E35" s="46"/>
      <c r="F35" s="1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>
        <v>1</v>
      </c>
      <c r="AD35" s="46">
        <v>1</v>
      </c>
      <c r="AE35" s="46"/>
      <c r="AF35" s="46"/>
      <c r="AG35" s="46"/>
      <c r="AH35" s="46">
        <v>1</v>
      </c>
      <c r="AI35" s="46">
        <v>1</v>
      </c>
      <c r="AJ35" s="46">
        <v>0</v>
      </c>
      <c r="AK35" s="46">
        <v>1</v>
      </c>
      <c r="AL35" s="46">
        <v>1</v>
      </c>
      <c r="AM35" s="46"/>
      <c r="AN35" s="46"/>
      <c r="AO35" s="46"/>
      <c r="AP35" s="46"/>
      <c r="AQ35" s="46"/>
      <c r="AR35" s="46"/>
      <c r="AS35" s="46"/>
      <c r="AT35" s="46">
        <v>1</v>
      </c>
      <c r="AU35" s="46"/>
      <c r="AV35" s="46"/>
      <c r="AW35" s="46"/>
      <c r="AX35" s="46"/>
      <c r="AY35" s="46">
        <v>1</v>
      </c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BU35" s="46"/>
      <c r="BV35" s="46"/>
      <c r="BW35" s="46"/>
      <c r="BX35" s="46"/>
      <c r="BY35" s="46"/>
      <c r="BZ35" s="46"/>
      <c r="CA35" s="46"/>
      <c r="CB35" s="46"/>
      <c r="CC35" s="46"/>
      <c r="CD35" s="46"/>
      <c r="CE35" s="46"/>
      <c r="CF35" s="46"/>
      <c r="CG35" s="46"/>
      <c r="CH35" s="46"/>
      <c r="CI35" s="46"/>
      <c r="CJ35" s="46"/>
      <c r="CK35" s="46"/>
      <c r="CL35" s="46"/>
      <c r="CM35" s="46"/>
      <c r="CN35" s="46"/>
      <c r="CO35" s="46"/>
      <c r="CP35" s="46"/>
      <c r="CQ35" s="46"/>
      <c r="CR35" s="46"/>
      <c r="CS35" s="46"/>
      <c r="CT35" s="46"/>
      <c r="CU35" s="46"/>
      <c r="CV35" s="46"/>
      <c r="CW35" s="46"/>
      <c r="CX35" s="46"/>
      <c r="CY35" s="46"/>
      <c r="CZ35" s="46"/>
      <c r="DA35" s="46"/>
      <c r="DB35" s="46"/>
      <c r="DC35" s="46"/>
      <c r="DD35" s="46"/>
      <c r="DE35" s="46"/>
      <c r="DF35" s="46"/>
      <c r="DG35" s="46"/>
      <c r="DH35" s="46"/>
      <c r="DI35" s="46"/>
      <c r="DJ35" s="46"/>
      <c r="DK35" s="46"/>
      <c r="DL35" s="46"/>
    </row>
    <row r="36" spans="1:116" x14ac:dyDescent="0.25">
      <c r="A36" s="71" t="s">
        <v>96</v>
      </c>
      <c r="B36" s="51">
        <f t="shared" si="0"/>
        <v>6</v>
      </c>
      <c r="C36" s="46"/>
      <c r="D36" s="46"/>
      <c r="E36" s="46"/>
      <c r="F36" s="62"/>
      <c r="G36" s="46"/>
      <c r="H36" s="46"/>
      <c r="I36" s="46"/>
      <c r="J36" s="46"/>
      <c r="K36" s="46"/>
      <c r="L36" s="46"/>
      <c r="M36" s="46"/>
      <c r="N36" s="46"/>
      <c r="O36" s="46"/>
      <c r="P36" s="46">
        <v>1</v>
      </c>
      <c r="Q36" s="46"/>
      <c r="R36" s="46">
        <v>1</v>
      </c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>
        <v>1</v>
      </c>
      <c r="AD36" s="46"/>
      <c r="AE36" s="46"/>
      <c r="AF36" s="46"/>
      <c r="AG36" s="46"/>
      <c r="AH36" s="46"/>
      <c r="AI36" s="46">
        <v>1</v>
      </c>
      <c r="AJ36" s="46">
        <v>1</v>
      </c>
      <c r="AK36" s="46">
        <v>0</v>
      </c>
      <c r="AL36" s="46">
        <v>1</v>
      </c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  <c r="BY36" s="46"/>
      <c r="BZ36" s="46"/>
      <c r="CA36" s="46"/>
      <c r="CB36" s="46"/>
      <c r="CC36" s="46"/>
      <c r="CD36" s="46"/>
      <c r="CE36" s="46"/>
      <c r="CF36" s="46"/>
      <c r="CG36" s="46"/>
      <c r="CH36" s="46"/>
      <c r="CI36" s="46"/>
      <c r="CJ36" s="46"/>
      <c r="CK36" s="46"/>
      <c r="CL36" s="46"/>
      <c r="CM36" s="46"/>
      <c r="CN36" s="46"/>
      <c r="CO36" s="46"/>
      <c r="CP36" s="46"/>
      <c r="CQ36" s="46"/>
      <c r="CR36" s="46"/>
      <c r="CS36" s="46"/>
      <c r="CT36" s="46"/>
      <c r="CU36" s="46"/>
      <c r="CV36" s="46"/>
      <c r="CW36" s="46"/>
      <c r="CX36" s="46"/>
      <c r="CY36" s="46"/>
      <c r="CZ36" s="46"/>
      <c r="DA36" s="46"/>
      <c r="DB36" s="46"/>
      <c r="DC36" s="46"/>
      <c r="DD36" s="46"/>
      <c r="DE36" s="46"/>
      <c r="DF36" s="46"/>
      <c r="DG36" s="46"/>
      <c r="DH36" s="46"/>
      <c r="DI36" s="46"/>
      <c r="DJ36" s="46"/>
      <c r="DK36" s="46"/>
      <c r="DL36" s="46"/>
    </row>
    <row r="37" spans="1:116" x14ac:dyDescent="0.25">
      <c r="A37" s="72" t="s">
        <v>313</v>
      </c>
      <c r="B37" s="51">
        <f t="shared" si="0"/>
        <v>7</v>
      </c>
      <c r="C37" s="46"/>
      <c r="D37" s="46"/>
      <c r="E37" s="46"/>
      <c r="F37" s="1"/>
      <c r="G37" s="46"/>
      <c r="H37" s="46"/>
      <c r="I37" s="46"/>
      <c r="J37" s="46"/>
      <c r="K37" s="46"/>
      <c r="L37" s="46"/>
      <c r="M37" s="46"/>
      <c r="N37" s="46"/>
      <c r="O37" s="46"/>
      <c r="P37" s="46">
        <v>1</v>
      </c>
      <c r="Q37" s="46"/>
      <c r="R37" s="46">
        <v>1</v>
      </c>
      <c r="S37" s="46"/>
      <c r="T37" s="46"/>
      <c r="U37" s="46"/>
      <c r="V37" s="46"/>
      <c r="W37" s="46"/>
      <c r="X37" s="46"/>
      <c r="Y37" s="46">
        <v>1</v>
      </c>
      <c r="Z37" s="46"/>
      <c r="AA37" s="46"/>
      <c r="AB37" s="46"/>
      <c r="AC37" s="46">
        <v>1</v>
      </c>
      <c r="AD37" s="46"/>
      <c r="AE37" s="46"/>
      <c r="AF37" s="46"/>
      <c r="AG37" s="46"/>
      <c r="AH37" s="46">
        <v>1</v>
      </c>
      <c r="AI37" s="46"/>
      <c r="AJ37" s="46">
        <v>1</v>
      </c>
      <c r="AK37" s="46">
        <v>1</v>
      </c>
      <c r="AL37" s="46">
        <v>0</v>
      </c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6"/>
      <c r="BQ37" s="46"/>
      <c r="BR37" s="46"/>
      <c r="BS37" s="46"/>
      <c r="BT37" s="46"/>
      <c r="BU37" s="46"/>
      <c r="BV37" s="46"/>
      <c r="BW37" s="46"/>
      <c r="BX37" s="46"/>
      <c r="BY37" s="46"/>
      <c r="BZ37" s="46"/>
      <c r="CA37" s="46"/>
      <c r="CB37" s="46"/>
      <c r="CC37" s="46"/>
      <c r="CD37" s="46"/>
      <c r="CE37" s="46"/>
      <c r="CF37" s="46"/>
      <c r="CG37" s="46"/>
      <c r="CH37" s="46"/>
      <c r="CI37" s="46"/>
      <c r="CJ37" s="46"/>
      <c r="CK37" s="46"/>
      <c r="CL37" s="46"/>
      <c r="CM37" s="46"/>
      <c r="CN37" s="46"/>
      <c r="CO37" s="46"/>
      <c r="CP37" s="46"/>
      <c r="CQ37" s="46"/>
      <c r="CR37" s="46"/>
      <c r="CS37" s="46"/>
      <c r="CT37" s="46"/>
      <c r="CU37" s="46"/>
      <c r="CV37" s="46"/>
      <c r="CW37" s="46"/>
      <c r="CX37" s="46"/>
      <c r="CY37" s="46"/>
      <c r="CZ37" s="46"/>
      <c r="DA37" s="46"/>
      <c r="DB37" s="46"/>
      <c r="DC37" s="46"/>
      <c r="DD37" s="46"/>
      <c r="DE37" s="46"/>
      <c r="DF37" s="46"/>
      <c r="DG37" s="46"/>
      <c r="DH37" s="46"/>
      <c r="DI37" s="46"/>
      <c r="DJ37" s="46"/>
      <c r="DK37" s="46"/>
      <c r="DL37" s="46"/>
    </row>
    <row r="38" spans="1:116" x14ac:dyDescent="0.25">
      <c r="A38" s="73" t="s">
        <v>98</v>
      </c>
      <c r="B38" s="51">
        <f t="shared" si="0"/>
        <v>6</v>
      </c>
      <c r="C38" s="46"/>
      <c r="D38" s="46"/>
      <c r="E38" s="46"/>
      <c r="F38" s="1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>
        <v>1</v>
      </c>
      <c r="AI38" s="46"/>
      <c r="AJ38" s="46"/>
      <c r="AK38" s="46"/>
      <c r="AL38" s="46"/>
      <c r="AM38" s="46">
        <v>0</v>
      </c>
      <c r="AN38" s="46">
        <v>1</v>
      </c>
      <c r="AO38" s="46">
        <v>1</v>
      </c>
      <c r="AP38" s="46">
        <v>1</v>
      </c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>
        <v>1</v>
      </c>
      <c r="BG38" s="46"/>
      <c r="BH38" s="46">
        <v>1</v>
      </c>
      <c r="BI38" s="46"/>
      <c r="BJ38" s="46"/>
      <c r="BK38" s="46"/>
      <c r="BL38" s="46"/>
      <c r="BM38" s="46"/>
      <c r="BN38" s="46"/>
      <c r="BO38" s="46"/>
      <c r="BP38" s="46"/>
      <c r="BQ38" s="46"/>
      <c r="BR38" s="46"/>
      <c r="BS38" s="46"/>
      <c r="BT38" s="46"/>
      <c r="BU38" s="46"/>
      <c r="BV38" s="46"/>
      <c r="BW38" s="46"/>
      <c r="BX38" s="46"/>
      <c r="BY38" s="46"/>
      <c r="BZ38" s="46"/>
      <c r="CA38" s="46"/>
      <c r="CB38" s="46"/>
      <c r="CC38" s="46"/>
      <c r="CD38" s="46"/>
      <c r="CE38" s="46"/>
      <c r="CF38" s="46"/>
      <c r="CG38" s="46"/>
      <c r="CH38" s="46"/>
      <c r="CI38" s="46"/>
      <c r="CJ38" s="46"/>
      <c r="CK38" s="46"/>
      <c r="CL38" s="46"/>
      <c r="CM38" s="46"/>
      <c r="CN38" s="46"/>
      <c r="CO38" s="46"/>
      <c r="CP38" s="46"/>
      <c r="CQ38" s="46"/>
      <c r="CR38" s="46"/>
      <c r="CS38" s="46"/>
      <c r="CT38" s="46"/>
      <c r="CU38" s="46"/>
      <c r="CV38" s="46"/>
      <c r="CW38" s="46"/>
      <c r="CX38" s="46"/>
      <c r="CY38" s="46"/>
      <c r="CZ38" s="46"/>
      <c r="DA38" s="46"/>
      <c r="DB38" s="46"/>
      <c r="DC38" s="46"/>
      <c r="DD38" s="46"/>
      <c r="DE38" s="46"/>
      <c r="DF38" s="46"/>
      <c r="DG38" s="46"/>
      <c r="DH38" s="46"/>
      <c r="DI38" s="46"/>
      <c r="DJ38" s="46"/>
      <c r="DK38" s="46"/>
      <c r="DL38" s="46"/>
    </row>
    <row r="39" spans="1:116" x14ac:dyDescent="0.25">
      <c r="A39" s="73" t="s">
        <v>101</v>
      </c>
      <c r="B39" s="51">
        <f t="shared" si="0"/>
        <v>7</v>
      </c>
      <c r="C39" s="46"/>
      <c r="D39" s="46"/>
      <c r="E39" s="46"/>
      <c r="F39" s="47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>
        <v>1</v>
      </c>
      <c r="AI39" s="46"/>
      <c r="AJ39" s="46"/>
      <c r="AK39" s="46"/>
      <c r="AL39" s="46"/>
      <c r="AM39" s="46">
        <v>1</v>
      </c>
      <c r="AN39" s="46">
        <v>0</v>
      </c>
      <c r="AO39" s="46">
        <v>1</v>
      </c>
      <c r="AP39" s="46">
        <v>1</v>
      </c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>
        <v>1</v>
      </c>
      <c r="BG39" s="46"/>
      <c r="BH39" s="46">
        <v>1</v>
      </c>
      <c r="BI39" s="46"/>
      <c r="BJ39" s="46"/>
      <c r="BK39" s="46"/>
      <c r="BL39" s="46"/>
      <c r="BM39" s="46"/>
      <c r="BN39" s="46"/>
      <c r="BO39" s="46"/>
      <c r="BP39" s="46"/>
      <c r="BQ39" s="46"/>
      <c r="BR39" s="46"/>
      <c r="BS39" s="46"/>
      <c r="BT39" s="46"/>
      <c r="BU39" s="46"/>
      <c r="BV39" s="46"/>
      <c r="BW39" s="46"/>
      <c r="BX39" s="46"/>
      <c r="BY39" s="46"/>
      <c r="BZ39" s="46">
        <v>1</v>
      </c>
      <c r="CA39" s="46"/>
      <c r="CB39" s="46"/>
      <c r="CC39" s="46"/>
      <c r="CD39" s="46"/>
      <c r="CE39" s="46"/>
      <c r="CF39" s="46"/>
      <c r="CG39" s="46"/>
      <c r="CH39" s="46"/>
      <c r="CI39" s="46"/>
      <c r="CJ39" s="46"/>
      <c r="CK39" s="46"/>
      <c r="CL39" s="46"/>
      <c r="CM39" s="46"/>
      <c r="CN39" s="46"/>
      <c r="CO39" s="46"/>
      <c r="CP39" s="46"/>
      <c r="CQ39" s="46"/>
      <c r="CR39" s="46"/>
      <c r="CS39" s="46"/>
      <c r="CT39" s="46"/>
      <c r="CU39" s="46"/>
      <c r="CV39" s="46"/>
      <c r="CW39" s="46"/>
      <c r="CX39" s="46"/>
      <c r="CY39" s="46"/>
      <c r="CZ39" s="46"/>
      <c r="DA39" s="46"/>
      <c r="DB39" s="46"/>
      <c r="DC39" s="46"/>
      <c r="DD39" s="46"/>
      <c r="DE39" s="46"/>
      <c r="DF39" s="46"/>
      <c r="DG39" s="46"/>
      <c r="DH39" s="46"/>
      <c r="DI39" s="46"/>
      <c r="DJ39" s="46"/>
      <c r="DK39" s="46"/>
      <c r="DL39" s="46"/>
    </row>
    <row r="40" spans="1:116" x14ac:dyDescent="0.25">
      <c r="A40" s="73" t="s">
        <v>104</v>
      </c>
      <c r="B40" s="51">
        <f t="shared" ref="B40:B69" si="1">SUM(C40:DL40)</f>
        <v>8</v>
      </c>
      <c r="C40" s="46"/>
      <c r="D40" s="46"/>
      <c r="E40" s="46"/>
      <c r="F40" s="1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>
        <v>1</v>
      </c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>
        <v>1</v>
      </c>
      <c r="AI40" s="46"/>
      <c r="AJ40" s="46"/>
      <c r="AK40" s="46"/>
      <c r="AL40" s="46"/>
      <c r="AM40" s="1"/>
      <c r="AN40" s="46">
        <v>1</v>
      </c>
      <c r="AO40" s="46">
        <v>0</v>
      </c>
      <c r="AP40" s="46">
        <v>1</v>
      </c>
      <c r="AQ40" s="46">
        <v>1</v>
      </c>
      <c r="AR40" s="46"/>
      <c r="AS40" s="46"/>
      <c r="AT40" s="46"/>
      <c r="AU40" s="46"/>
      <c r="AV40" s="46"/>
      <c r="AW40" s="1"/>
      <c r="AX40" s="1"/>
      <c r="AY40" s="1"/>
      <c r="AZ40" s="46"/>
      <c r="BA40" s="46"/>
      <c r="BB40" s="46"/>
      <c r="BC40" s="46"/>
      <c r="BD40" s="46"/>
      <c r="BE40" s="46"/>
      <c r="BF40" s="46">
        <v>1</v>
      </c>
      <c r="BG40" s="46"/>
      <c r="BH40" s="46">
        <v>1</v>
      </c>
      <c r="BI40" s="46"/>
      <c r="BJ40" s="46"/>
      <c r="BK40" s="46"/>
      <c r="BL40" s="46"/>
      <c r="BM40" s="46"/>
      <c r="BN40" s="46"/>
      <c r="BO40" s="46"/>
      <c r="BP40" s="46"/>
      <c r="BQ40" s="46"/>
      <c r="BR40" s="46"/>
      <c r="BS40" s="46"/>
      <c r="BT40" s="46"/>
      <c r="BU40" s="46">
        <v>1</v>
      </c>
      <c r="BV40" s="46"/>
      <c r="BW40" s="46"/>
      <c r="BX40" s="46"/>
      <c r="BY40" s="46"/>
      <c r="BZ40" s="46"/>
      <c r="CA40" s="46"/>
      <c r="CB40" s="46"/>
      <c r="CC40" s="46"/>
      <c r="CD40" s="46"/>
      <c r="CE40" s="46"/>
      <c r="CF40" s="46"/>
      <c r="CG40" s="46"/>
      <c r="CH40" s="46"/>
      <c r="CI40" s="46"/>
      <c r="CJ40" s="46"/>
      <c r="CK40" s="46"/>
      <c r="CL40" s="46"/>
      <c r="CM40" s="46"/>
      <c r="CN40" s="46"/>
      <c r="CO40" s="46"/>
      <c r="CP40" s="46"/>
      <c r="CQ40" s="46"/>
      <c r="CR40" s="46"/>
      <c r="CS40" s="46"/>
      <c r="CT40" s="46"/>
      <c r="CU40" s="46"/>
      <c r="CV40" s="46"/>
      <c r="CW40" s="46"/>
      <c r="CX40" s="46"/>
      <c r="CY40" s="46"/>
      <c r="CZ40" s="46"/>
      <c r="DA40" s="46"/>
      <c r="DB40" s="46"/>
      <c r="DC40" s="46"/>
      <c r="DD40" s="46"/>
      <c r="DE40" s="46"/>
      <c r="DF40" s="46"/>
      <c r="DG40" s="46"/>
      <c r="DH40" s="46"/>
      <c r="DI40" s="46"/>
      <c r="DJ40" s="46"/>
      <c r="DK40" s="46"/>
      <c r="DL40" s="46"/>
    </row>
    <row r="41" spans="1:116" x14ac:dyDescent="0.25">
      <c r="A41" s="73" t="s">
        <v>107</v>
      </c>
      <c r="B41" s="51">
        <f t="shared" si="1"/>
        <v>7</v>
      </c>
      <c r="C41" s="46"/>
      <c r="D41" s="46"/>
      <c r="E41" s="46"/>
      <c r="F41" s="1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>
        <v>1</v>
      </c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>
        <v>1</v>
      </c>
      <c r="AI41" s="46"/>
      <c r="AJ41" s="46"/>
      <c r="AK41" s="46"/>
      <c r="AL41" s="46"/>
      <c r="AM41" s="1"/>
      <c r="AN41" s="46">
        <v>1</v>
      </c>
      <c r="AO41" s="46">
        <v>1</v>
      </c>
      <c r="AP41" s="46">
        <v>0</v>
      </c>
      <c r="AQ41" s="46">
        <v>1</v>
      </c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>
        <v>1</v>
      </c>
      <c r="BG41" s="46"/>
      <c r="BH41" s="46">
        <v>1</v>
      </c>
      <c r="BI41" s="46"/>
      <c r="BJ41" s="46"/>
      <c r="BK41" s="46"/>
      <c r="BL41" s="46"/>
      <c r="BM41" s="46"/>
      <c r="BN41" s="46"/>
      <c r="BO41" s="46"/>
      <c r="BP41" s="46"/>
      <c r="BQ41" s="46"/>
      <c r="BR41" s="46"/>
      <c r="BS41" s="46"/>
      <c r="BT41" s="46"/>
      <c r="BU41" s="46"/>
      <c r="BV41" s="46"/>
      <c r="BW41" s="46"/>
      <c r="BX41" s="46"/>
      <c r="BY41" s="46"/>
      <c r="BZ41" s="46"/>
      <c r="CA41" s="46"/>
      <c r="CB41" s="46"/>
      <c r="CC41" s="46"/>
      <c r="CD41" s="46"/>
      <c r="CE41" s="46"/>
      <c r="CF41" s="46"/>
      <c r="CG41" s="46"/>
      <c r="CH41" s="46"/>
      <c r="CI41" s="46"/>
      <c r="CJ41" s="46"/>
      <c r="CK41" s="46"/>
      <c r="CL41" s="46"/>
      <c r="CM41" s="46"/>
      <c r="CN41" s="46"/>
      <c r="CO41" s="46"/>
      <c r="CP41" s="46"/>
      <c r="CQ41" s="46"/>
      <c r="CR41" s="46"/>
      <c r="CS41" s="46"/>
      <c r="CT41" s="46"/>
      <c r="CU41" s="46"/>
      <c r="CV41" s="46"/>
      <c r="CW41" s="46"/>
      <c r="CX41" s="46"/>
      <c r="CY41" s="46"/>
      <c r="CZ41" s="46"/>
      <c r="DA41" s="46"/>
      <c r="DB41" s="46"/>
      <c r="DC41" s="46"/>
      <c r="DD41" s="46"/>
      <c r="DE41" s="46"/>
      <c r="DF41" s="46"/>
      <c r="DG41" s="46"/>
      <c r="DH41" s="46"/>
      <c r="DI41" s="46"/>
      <c r="DJ41" s="46"/>
      <c r="DK41" s="46"/>
      <c r="DL41" s="46"/>
    </row>
    <row r="42" spans="1:116" x14ac:dyDescent="0.25">
      <c r="A42" s="73" t="s">
        <v>110</v>
      </c>
      <c r="B42" s="51">
        <f t="shared" si="1"/>
        <v>6</v>
      </c>
      <c r="C42" s="46"/>
      <c r="D42" s="46"/>
      <c r="E42" s="46"/>
      <c r="F42" s="1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>
        <v>1</v>
      </c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>
        <v>1</v>
      </c>
      <c r="AI42" s="46"/>
      <c r="AJ42" s="46">
        <v>1</v>
      </c>
      <c r="AK42" s="46"/>
      <c r="AL42" s="46"/>
      <c r="AM42" s="46"/>
      <c r="AN42" s="46"/>
      <c r="AO42" s="46">
        <v>1</v>
      </c>
      <c r="AP42" s="46">
        <v>1</v>
      </c>
      <c r="AQ42" s="46">
        <v>0</v>
      </c>
      <c r="AR42" s="46">
        <v>1</v>
      </c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6"/>
      <c r="BQ42" s="46"/>
      <c r="BR42" s="46"/>
      <c r="BS42" s="46"/>
      <c r="BT42" s="46"/>
      <c r="BU42" s="46"/>
      <c r="BV42" s="46"/>
      <c r="BW42" s="46"/>
      <c r="BX42" s="46"/>
      <c r="BY42" s="46"/>
      <c r="BZ42" s="46"/>
      <c r="CA42" s="46"/>
      <c r="CB42" s="46"/>
      <c r="CC42" s="46"/>
      <c r="CD42" s="46"/>
      <c r="CE42" s="46"/>
      <c r="CF42" s="46"/>
      <c r="CG42" s="46"/>
      <c r="CH42" s="46"/>
      <c r="CI42" s="46"/>
      <c r="CJ42" s="46"/>
      <c r="CK42" s="46"/>
      <c r="CL42" s="46"/>
      <c r="CM42" s="46"/>
      <c r="CN42" s="46"/>
      <c r="CO42" s="46"/>
      <c r="CP42" s="46"/>
      <c r="CQ42" s="46"/>
      <c r="CR42" s="46"/>
      <c r="CS42" s="46"/>
      <c r="CT42" s="46"/>
      <c r="CU42" s="46"/>
      <c r="CV42" s="46"/>
      <c r="CW42" s="46"/>
      <c r="CX42" s="46"/>
      <c r="CY42" s="46"/>
      <c r="CZ42" s="46"/>
      <c r="DA42" s="46"/>
      <c r="DB42" s="46"/>
      <c r="DC42" s="46"/>
      <c r="DD42" s="46"/>
      <c r="DE42" s="46"/>
      <c r="DF42" s="46"/>
      <c r="DG42" s="46"/>
      <c r="DH42" s="46"/>
      <c r="DI42" s="46"/>
      <c r="DJ42" s="46"/>
      <c r="DK42" s="46"/>
      <c r="DL42" s="46"/>
    </row>
    <row r="43" spans="1:116" x14ac:dyDescent="0.25">
      <c r="A43" s="73" t="s">
        <v>113</v>
      </c>
      <c r="B43" s="51">
        <f t="shared" si="1"/>
        <v>7</v>
      </c>
      <c r="C43" s="46"/>
      <c r="D43" s="46"/>
      <c r="E43" s="46"/>
      <c r="F43" s="47"/>
      <c r="G43" s="46"/>
      <c r="H43" s="46"/>
      <c r="I43" s="46"/>
      <c r="J43" s="46"/>
      <c r="K43" s="46">
        <v>1</v>
      </c>
      <c r="L43" s="46">
        <v>1</v>
      </c>
      <c r="M43" s="46">
        <v>1</v>
      </c>
      <c r="N43" s="46">
        <v>1</v>
      </c>
      <c r="O43" s="46"/>
      <c r="P43" s="46"/>
      <c r="Q43" s="46"/>
      <c r="R43" s="46"/>
      <c r="S43" s="46">
        <v>1</v>
      </c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>
        <v>1</v>
      </c>
      <c r="AQ43" s="46">
        <v>1</v>
      </c>
      <c r="AR43" s="46">
        <v>0</v>
      </c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46"/>
      <c r="BP43" s="46"/>
      <c r="BQ43" s="46"/>
      <c r="BR43" s="46"/>
      <c r="BS43" s="46"/>
      <c r="BT43" s="46"/>
      <c r="BU43" s="46"/>
      <c r="BV43" s="46"/>
      <c r="BW43" s="46"/>
      <c r="BX43" s="46"/>
      <c r="BY43" s="46"/>
      <c r="BZ43" s="46"/>
      <c r="CA43" s="46"/>
      <c r="CB43" s="46"/>
      <c r="CC43" s="46"/>
      <c r="CD43" s="46"/>
      <c r="CE43" s="46"/>
      <c r="CF43" s="46"/>
      <c r="CG43" s="46"/>
      <c r="CH43" s="46"/>
      <c r="CI43" s="46"/>
      <c r="CJ43" s="46"/>
      <c r="CK43" s="46"/>
      <c r="CL43" s="46"/>
      <c r="CM43" s="46"/>
      <c r="CN43" s="46"/>
      <c r="CO43" s="46"/>
      <c r="CP43" s="46"/>
      <c r="CQ43" s="46"/>
      <c r="CR43" s="46"/>
      <c r="CS43" s="46"/>
      <c r="CT43" s="46"/>
      <c r="CU43" s="46"/>
      <c r="CV43" s="46"/>
      <c r="CW43" s="46"/>
      <c r="CX43" s="46"/>
      <c r="CY43" s="46"/>
      <c r="CZ43" s="46"/>
      <c r="DA43" s="46"/>
      <c r="DB43" s="46"/>
      <c r="DC43" s="46"/>
      <c r="DD43" s="46"/>
      <c r="DE43" s="46"/>
      <c r="DF43" s="46"/>
      <c r="DG43" s="46"/>
      <c r="DH43" s="46"/>
      <c r="DI43" s="46"/>
      <c r="DJ43" s="46"/>
      <c r="DK43" s="46"/>
      <c r="DL43" s="46"/>
    </row>
    <row r="44" spans="1:116" x14ac:dyDescent="0.25">
      <c r="A44" s="28" t="s">
        <v>116</v>
      </c>
      <c r="B44" s="51">
        <f t="shared" si="1"/>
        <v>5</v>
      </c>
      <c r="C44" s="46"/>
      <c r="D44" s="46"/>
      <c r="E44" s="46"/>
      <c r="F44" s="1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>
        <v>0</v>
      </c>
      <c r="AT44" s="46"/>
      <c r="AU44" s="46"/>
      <c r="AV44" s="46">
        <v>1</v>
      </c>
      <c r="AW44" s="46">
        <v>1</v>
      </c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6"/>
      <c r="BQ44" s="46"/>
      <c r="BR44" s="46"/>
      <c r="BS44" s="46"/>
      <c r="BT44" s="46"/>
      <c r="BU44" s="46"/>
      <c r="BV44" s="46"/>
      <c r="BW44" s="46"/>
      <c r="BX44" s="46"/>
      <c r="BY44" s="46"/>
      <c r="BZ44" s="46"/>
      <c r="CA44" s="46">
        <v>1</v>
      </c>
      <c r="CB44" s="46"/>
      <c r="CC44" s="46"/>
      <c r="CD44" s="46"/>
      <c r="CE44" s="46"/>
      <c r="CF44" s="46"/>
      <c r="CG44" s="46"/>
      <c r="CH44" s="46"/>
      <c r="CI44" s="46">
        <v>1</v>
      </c>
      <c r="CJ44" s="46"/>
      <c r="CK44" s="46"/>
      <c r="CL44" s="46"/>
      <c r="CM44" s="46"/>
      <c r="CN44" s="46"/>
      <c r="CO44" s="46"/>
      <c r="CP44" s="46">
        <v>1</v>
      </c>
      <c r="CQ44" s="46"/>
      <c r="CR44" s="46"/>
      <c r="CS44" s="46"/>
      <c r="CT44" s="46"/>
      <c r="CU44" s="46"/>
      <c r="CV44" s="46"/>
      <c r="CW44" s="46"/>
      <c r="CX44" s="46"/>
      <c r="CY44" s="46"/>
      <c r="CZ44" s="46"/>
      <c r="DA44" s="46"/>
      <c r="DB44" s="46"/>
      <c r="DC44" s="46"/>
      <c r="DD44" s="46"/>
      <c r="DE44" s="46"/>
      <c r="DF44" s="46"/>
      <c r="DG44" s="46"/>
      <c r="DH44" s="46"/>
      <c r="DI44" s="46"/>
      <c r="DJ44" s="46"/>
      <c r="DK44" s="46"/>
      <c r="DL44" s="46"/>
    </row>
    <row r="45" spans="1:116" x14ac:dyDescent="0.25">
      <c r="A45" s="28" t="s">
        <v>119</v>
      </c>
      <c r="B45" s="51">
        <f t="shared" si="1"/>
        <v>4</v>
      </c>
      <c r="C45" s="46"/>
      <c r="D45" s="46"/>
      <c r="E45" s="46"/>
      <c r="F45" s="1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>
        <v>0</v>
      </c>
      <c r="AU45" s="46"/>
      <c r="AV45" s="46"/>
      <c r="AW45" s="46"/>
      <c r="AX45" s="46"/>
      <c r="AY45" s="46">
        <v>1</v>
      </c>
      <c r="AZ45" s="46">
        <v>1</v>
      </c>
      <c r="BA45" s="46"/>
      <c r="BB45" s="46"/>
      <c r="BC45" s="46">
        <v>1</v>
      </c>
      <c r="BD45" s="46">
        <v>1</v>
      </c>
      <c r="BE45" s="46"/>
      <c r="BF45" s="46"/>
      <c r="BG45" s="46"/>
      <c r="BH45" s="46"/>
      <c r="BI45" s="46"/>
      <c r="BJ45" s="46"/>
      <c r="BK45" s="46"/>
      <c r="BL45" s="46"/>
      <c r="BM45" s="46"/>
      <c r="BN45" s="46"/>
      <c r="BO45" s="46"/>
      <c r="BP45" s="46"/>
      <c r="BQ45" s="46"/>
      <c r="BR45" s="46"/>
      <c r="BS45" s="46"/>
      <c r="BT45" s="46"/>
      <c r="BU45" s="46"/>
      <c r="BV45" s="46"/>
      <c r="BW45" s="46"/>
      <c r="BX45" s="46"/>
      <c r="BY45" s="46"/>
      <c r="BZ45" s="46"/>
      <c r="CA45" s="46"/>
      <c r="CB45" s="46"/>
      <c r="CC45" s="46"/>
      <c r="CD45" s="46"/>
      <c r="CE45" s="46"/>
      <c r="CF45" s="46"/>
      <c r="CG45" s="46"/>
      <c r="CH45" s="46"/>
      <c r="CI45" s="46"/>
      <c r="CJ45" s="46"/>
      <c r="CK45" s="46"/>
      <c r="CL45" s="46"/>
      <c r="CM45" s="46"/>
      <c r="CN45" s="46"/>
      <c r="CO45" s="46"/>
      <c r="CP45" s="46"/>
      <c r="CQ45" s="46"/>
      <c r="CR45" s="46"/>
      <c r="CS45" s="46"/>
      <c r="CT45" s="46"/>
      <c r="CU45" s="46"/>
      <c r="CV45" s="46"/>
      <c r="CW45" s="46"/>
      <c r="CX45" s="46"/>
      <c r="CY45" s="46"/>
      <c r="CZ45" s="46"/>
      <c r="DA45" s="46"/>
      <c r="DB45" s="46"/>
      <c r="DC45" s="46"/>
      <c r="DD45" s="46"/>
      <c r="DE45" s="46"/>
      <c r="DF45" s="46"/>
      <c r="DG45" s="46"/>
      <c r="DH45" s="46"/>
      <c r="DI45" s="46"/>
      <c r="DJ45" s="46"/>
      <c r="DK45" s="46"/>
      <c r="DL45" s="46"/>
    </row>
    <row r="46" spans="1:116" x14ac:dyDescent="0.25">
      <c r="A46" s="28" t="s">
        <v>121</v>
      </c>
      <c r="B46" s="51">
        <f t="shared" si="1"/>
        <v>11</v>
      </c>
      <c r="C46" s="46"/>
      <c r="D46" s="46"/>
      <c r="E46" s="46"/>
      <c r="F46" s="1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>
        <v>1</v>
      </c>
      <c r="AU46" s="46">
        <v>0</v>
      </c>
      <c r="AV46" s="46">
        <v>1</v>
      </c>
      <c r="AW46" s="46">
        <v>1</v>
      </c>
      <c r="AX46" s="46">
        <v>1</v>
      </c>
      <c r="AY46" s="46"/>
      <c r="AZ46" s="46">
        <v>1</v>
      </c>
      <c r="BA46" s="46">
        <v>1</v>
      </c>
      <c r="BB46" s="46">
        <v>1</v>
      </c>
      <c r="BC46" s="46">
        <v>1</v>
      </c>
      <c r="BD46" s="46"/>
      <c r="BE46" s="46">
        <v>1</v>
      </c>
      <c r="BF46" s="46"/>
      <c r="BG46" s="46"/>
      <c r="BH46" s="46">
        <v>1</v>
      </c>
      <c r="BI46" s="46"/>
      <c r="BJ46" s="46"/>
      <c r="BK46" s="46"/>
      <c r="BL46" s="46"/>
      <c r="BM46" s="46"/>
      <c r="BN46" s="46">
        <v>1</v>
      </c>
      <c r="BO46" s="46"/>
      <c r="BP46" s="46"/>
      <c r="BQ46" s="46"/>
      <c r="BR46" s="46"/>
      <c r="BS46" s="46"/>
      <c r="BT46" s="46"/>
      <c r="BU46" s="46"/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/>
      <c r="CP46" s="46"/>
      <c r="CQ46" s="46"/>
      <c r="CR46" s="46"/>
      <c r="CS46" s="46"/>
      <c r="CT46" s="46"/>
      <c r="CU46" s="46"/>
      <c r="CV46" s="46"/>
      <c r="CW46" s="46"/>
      <c r="CX46" s="46"/>
      <c r="CY46" s="46"/>
      <c r="CZ46" s="46"/>
      <c r="DA46" s="46"/>
      <c r="DB46" s="46"/>
      <c r="DC46" s="46"/>
      <c r="DD46" s="46"/>
      <c r="DE46" s="46"/>
      <c r="DF46" s="46"/>
      <c r="DG46" s="46"/>
      <c r="DH46" s="46"/>
      <c r="DI46" s="46"/>
      <c r="DJ46" s="46"/>
      <c r="DK46" s="46"/>
      <c r="DL46" s="46"/>
    </row>
    <row r="47" spans="1:116" x14ac:dyDescent="0.25">
      <c r="A47" s="28" t="s">
        <v>123</v>
      </c>
      <c r="B47" s="51">
        <f t="shared" si="1"/>
        <v>8</v>
      </c>
      <c r="C47" s="46"/>
      <c r="D47" s="46"/>
      <c r="E47" s="46"/>
      <c r="F47" s="1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>
        <v>1</v>
      </c>
      <c r="AV47" s="46">
        <v>0</v>
      </c>
      <c r="AW47" s="46">
        <v>1</v>
      </c>
      <c r="AX47" s="46">
        <v>1</v>
      </c>
      <c r="AY47" s="46"/>
      <c r="AZ47" s="46"/>
      <c r="BA47" s="46">
        <v>1</v>
      </c>
      <c r="BB47" s="46">
        <v>1</v>
      </c>
      <c r="BC47" s="46">
        <v>1</v>
      </c>
      <c r="BD47" s="46"/>
      <c r="BE47" s="46"/>
      <c r="BF47" s="46"/>
      <c r="BG47" s="46">
        <v>1</v>
      </c>
      <c r="BH47" s="46"/>
      <c r="BI47" s="46"/>
      <c r="BJ47" s="46"/>
      <c r="BK47" s="46"/>
      <c r="BL47" s="46"/>
      <c r="BM47" s="46"/>
      <c r="BN47" s="46"/>
      <c r="BO47" s="46"/>
      <c r="BP47" s="46"/>
      <c r="BQ47" s="46"/>
      <c r="BR47" s="46"/>
      <c r="BS47" s="46"/>
      <c r="BT47" s="46"/>
      <c r="BU47" s="46"/>
      <c r="BV47" s="46"/>
      <c r="BW47" s="46"/>
      <c r="BX47" s="46"/>
      <c r="BY47" s="46"/>
      <c r="BZ47" s="46"/>
      <c r="CA47" s="46">
        <v>1</v>
      </c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4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  <c r="DK47" s="46"/>
      <c r="DL47" s="46"/>
    </row>
    <row r="48" spans="1:116" x14ac:dyDescent="0.25">
      <c r="A48" s="28" t="s">
        <v>125</v>
      </c>
      <c r="B48" s="51">
        <f t="shared" si="1"/>
        <v>14</v>
      </c>
      <c r="C48" s="46"/>
      <c r="D48" s="46"/>
      <c r="E48" s="46"/>
      <c r="F48" s="1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1"/>
      <c r="AN48" s="46"/>
      <c r="AO48" s="46"/>
      <c r="AP48" s="46"/>
      <c r="AQ48" s="46"/>
      <c r="AR48" s="46"/>
      <c r="AS48" s="46">
        <v>1</v>
      </c>
      <c r="AT48" s="46"/>
      <c r="AU48" s="1">
        <v>1</v>
      </c>
      <c r="AV48" s="46">
        <v>1</v>
      </c>
      <c r="AW48" s="46">
        <v>0</v>
      </c>
      <c r="AX48" s="46"/>
      <c r="AY48" s="46"/>
      <c r="AZ48" s="46"/>
      <c r="BA48" s="46"/>
      <c r="BB48" s="46">
        <v>1</v>
      </c>
      <c r="BC48" s="46">
        <v>1</v>
      </c>
      <c r="BD48" s="46"/>
      <c r="BE48" s="46"/>
      <c r="BF48" s="46"/>
      <c r="BG48" s="46">
        <v>1</v>
      </c>
      <c r="BH48" s="46"/>
      <c r="BI48" s="46"/>
      <c r="BJ48" s="46"/>
      <c r="BK48" s="46"/>
      <c r="BL48" s="46"/>
      <c r="BM48" s="46"/>
      <c r="BN48" s="46">
        <v>1</v>
      </c>
      <c r="BO48" s="46"/>
      <c r="BP48" s="46"/>
      <c r="BQ48" s="46"/>
      <c r="BR48" s="46"/>
      <c r="BS48" s="46"/>
      <c r="BT48" s="46"/>
      <c r="BU48" s="46">
        <v>1</v>
      </c>
      <c r="BV48" s="46"/>
      <c r="BW48" s="46"/>
      <c r="BX48" s="46"/>
      <c r="BY48" s="46"/>
      <c r="BZ48" s="46"/>
      <c r="CA48" s="46">
        <v>1</v>
      </c>
      <c r="CB48" s="46"/>
      <c r="CC48" s="46"/>
      <c r="CD48" s="46"/>
      <c r="CE48" s="46"/>
      <c r="CF48" s="46"/>
      <c r="CG48" s="46">
        <v>1</v>
      </c>
      <c r="CH48" s="46"/>
      <c r="CI48" s="46">
        <v>1</v>
      </c>
      <c r="CJ48" s="46"/>
      <c r="CK48" s="46">
        <v>1</v>
      </c>
      <c r="CL48" s="46"/>
      <c r="CM48" s="46"/>
      <c r="CN48" s="46">
        <v>1</v>
      </c>
      <c r="CO48" s="46"/>
      <c r="CP48" s="46">
        <v>1</v>
      </c>
      <c r="CQ48" s="46"/>
      <c r="CR48" s="46"/>
      <c r="CS48" s="46"/>
      <c r="CT48" s="46"/>
      <c r="CU48" s="46"/>
      <c r="CV48" s="46"/>
      <c r="CW48" s="46"/>
      <c r="CX48" s="46"/>
      <c r="CY48" s="46"/>
      <c r="CZ48" s="46"/>
      <c r="DA48" s="46"/>
      <c r="DB48" s="46"/>
      <c r="DC48" s="46"/>
      <c r="DD48" s="46"/>
      <c r="DE48" s="46"/>
      <c r="DF48" s="46"/>
      <c r="DG48" s="46"/>
      <c r="DH48" s="46"/>
      <c r="DI48" s="46"/>
      <c r="DJ48" s="46"/>
      <c r="DK48" s="46"/>
      <c r="DL48" s="46"/>
    </row>
    <row r="49" spans="1:116" x14ac:dyDescent="0.25">
      <c r="A49" s="28" t="s">
        <v>128</v>
      </c>
      <c r="B49" s="51">
        <f t="shared" si="1"/>
        <v>5</v>
      </c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1"/>
      <c r="AN49" s="46"/>
      <c r="AO49" s="46"/>
      <c r="AP49" s="46"/>
      <c r="AQ49" s="46"/>
      <c r="AR49" s="46"/>
      <c r="AS49" s="46"/>
      <c r="AT49" s="46"/>
      <c r="AU49" s="1">
        <v>1</v>
      </c>
      <c r="AV49" s="46">
        <v>1</v>
      </c>
      <c r="AW49" s="46"/>
      <c r="AX49" s="46">
        <v>0</v>
      </c>
      <c r="AY49" s="46"/>
      <c r="AZ49" s="46">
        <v>1</v>
      </c>
      <c r="BA49" s="46">
        <v>1</v>
      </c>
      <c r="BB49" s="46">
        <v>1</v>
      </c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6"/>
      <c r="BQ49" s="46"/>
      <c r="BR49" s="46"/>
      <c r="BS49" s="46"/>
      <c r="BT49" s="46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4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  <c r="DI49" s="46"/>
      <c r="DJ49" s="46"/>
      <c r="DK49" s="46"/>
      <c r="DL49" s="46"/>
    </row>
    <row r="50" spans="1:116" x14ac:dyDescent="0.25">
      <c r="A50" s="74" t="s">
        <v>131</v>
      </c>
      <c r="B50" s="51">
        <f t="shared" si="1"/>
        <v>11</v>
      </c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>
        <v>1</v>
      </c>
      <c r="AE50" s="46"/>
      <c r="AF50" s="46"/>
      <c r="AG50" s="46"/>
      <c r="AH50" s="46">
        <v>1</v>
      </c>
      <c r="AI50" s="46"/>
      <c r="AJ50" s="46"/>
      <c r="AK50" s="46"/>
      <c r="AL50" s="46"/>
      <c r="AM50" s="1"/>
      <c r="AN50" s="46"/>
      <c r="AO50" s="46">
        <v>1</v>
      </c>
      <c r="AP50" s="46">
        <v>1</v>
      </c>
      <c r="AQ50" s="46"/>
      <c r="AR50" s="46"/>
      <c r="AS50" s="46"/>
      <c r="AT50" s="46">
        <v>1</v>
      </c>
      <c r="AU50" s="46"/>
      <c r="AV50" s="46"/>
      <c r="AW50" s="46"/>
      <c r="AX50" s="46"/>
      <c r="AY50" s="46">
        <v>0</v>
      </c>
      <c r="AZ50" s="46">
        <v>1</v>
      </c>
      <c r="BA50" s="46"/>
      <c r="BB50" s="46"/>
      <c r="BC50" s="46">
        <v>1</v>
      </c>
      <c r="BD50" s="46">
        <v>1</v>
      </c>
      <c r="BE50" s="46">
        <v>1</v>
      </c>
      <c r="BF50" s="46">
        <v>1</v>
      </c>
      <c r="BG50" s="46"/>
      <c r="BH50" s="46">
        <v>1</v>
      </c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46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  <c r="DG50" s="46"/>
      <c r="DH50" s="46"/>
      <c r="DI50" s="46"/>
      <c r="DJ50" s="46"/>
      <c r="DK50" s="46"/>
      <c r="DL50" s="46"/>
    </row>
    <row r="51" spans="1:116" x14ac:dyDescent="0.25">
      <c r="A51" s="74" t="s">
        <v>134</v>
      </c>
      <c r="B51" s="51">
        <f t="shared" si="1"/>
        <v>5</v>
      </c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>
        <v>1</v>
      </c>
      <c r="AV51" s="46">
        <v>1</v>
      </c>
      <c r="AW51" s="46"/>
      <c r="AX51" s="46">
        <v>1</v>
      </c>
      <c r="AY51" s="46"/>
      <c r="AZ51" s="46">
        <v>0</v>
      </c>
      <c r="BA51" s="46">
        <v>1</v>
      </c>
      <c r="BB51" s="46">
        <v>1</v>
      </c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46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6"/>
      <c r="DJ51" s="46"/>
      <c r="DK51" s="46"/>
      <c r="DL51" s="46"/>
    </row>
    <row r="52" spans="1:116" x14ac:dyDescent="0.25">
      <c r="A52" s="74" t="s">
        <v>137</v>
      </c>
      <c r="B52" s="51">
        <f t="shared" si="1"/>
        <v>5</v>
      </c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>
        <v>1</v>
      </c>
      <c r="AV52" s="46">
        <v>1</v>
      </c>
      <c r="AW52" s="46"/>
      <c r="AX52" s="46">
        <v>1</v>
      </c>
      <c r="AY52" s="46"/>
      <c r="AZ52" s="46">
        <v>1</v>
      </c>
      <c r="BA52" s="46">
        <v>0</v>
      </c>
      <c r="BB52" s="46">
        <v>1</v>
      </c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46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6"/>
      <c r="DJ52" s="46"/>
      <c r="DK52" s="46"/>
      <c r="DL52" s="46"/>
    </row>
    <row r="53" spans="1:116" x14ac:dyDescent="0.25">
      <c r="A53" s="74" t="s">
        <v>140</v>
      </c>
      <c r="B53" s="51">
        <f t="shared" si="1"/>
        <v>8</v>
      </c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>
        <v>1</v>
      </c>
      <c r="AV53" s="46">
        <v>1</v>
      </c>
      <c r="AW53" s="46">
        <v>1</v>
      </c>
      <c r="AX53" s="46">
        <v>1</v>
      </c>
      <c r="AY53" s="46"/>
      <c r="AZ53" s="46"/>
      <c r="BA53" s="46">
        <v>1</v>
      </c>
      <c r="BB53" s="46">
        <v>0</v>
      </c>
      <c r="BC53" s="46">
        <v>1</v>
      </c>
      <c r="BD53" s="46"/>
      <c r="BE53" s="46"/>
      <c r="BF53" s="46"/>
      <c r="BG53" s="46"/>
      <c r="BH53" s="46"/>
      <c r="BI53" s="46"/>
      <c r="BJ53" s="46"/>
      <c r="BK53" s="46"/>
      <c r="BL53" s="46"/>
      <c r="BM53" s="46">
        <v>1</v>
      </c>
      <c r="BN53" s="46">
        <v>1</v>
      </c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46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6"/>
      <c r="DJ53" s="46"/>
      <c r="DK53" s="46"/>
      <c r="DL53" s="46"/>
    </row>
    <row r="54" spans="1:116" x14ac:dyDescent="0.25">
      <c r="A54" s="74" t="s">
        <v>143</v>
      </c>
      <c r="B54" s="51">
        <f t="shared" si="1"/>
        <v>9</v>
      </c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>
        <v>1</v>
      </c>
      <c r="AU54" s="46">
        <v>1</v>
      </c>
      <c r="AV54" s="46">
        <v>1</v>
      </c>
      <c r="AW54" s="46">
        <v>1</v>
      </c>
      <c r="AX54" s="46"/>
      <c r="AY54" s="46"/>
      <c r="AZ54" s="46"/>
      <c r="BA54" s="46"/>
      <c r="BB54" s="46">
        <v>1</v>
      </c>
      <c r="BC54" s="46">
        <v>0</v>
      </c>
      <c r="BD54" s="46"/>
      <c r="BE54" s="46">
        <v>1</v>
      </c>
      <c r="BF54" s="46"/>
      <c r="BG54" s="46"/>
      <c r="BH54" s="46">
        <v>1</v>
      </c>
      <c r="BI54" s="46"/>
      <c r="BJ54" s="46"/>
      <c r="BK54" s="46"/>
      <c r="BL54" s="46"/>
      <c r="BM54" s="46">
        <v>1</v>
      </c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>
        <v>1</v>
      </c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46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  <c r="DG54" s="46"/>
      <c r="DH54" s="46"/>
      <c r="DI54" s="46"/>
      <c r="DJ54" s="46"/>
      <c r="DK54" s="46"/>
      <c r="DL54" s="46"/>
    </row>
    <row r="55" spans="1:116" x14ac:dyDescent="0.25">
      <c r="A55" s="75" t="s">
        <v>309</v>
      </c>
      <c r="B55" s="51">
        <f t="shared" si="1"/>
        <v>2</v>
      </c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>
        <v>1</v>
      </c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>
        <v>1</v>
      </c>
      <c r="AU55" s="46"/>
      <c r="AV55" s="46"/>
      <c r="AW55" s="46"/>
      <c r="AX55" s="46"/>
      <c r="AY55" s="46"/>
      <c r="AZ55" s="46"/>
      <c r="BA55" s="46"/>
      <c r="BB55" s="46"/>
      <c r="BC55" s="46"/>
      <c r="BD55" s="46">
        <v>0</v>
      </c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6"/>
      <c r="CL55" s="46"/>
      <c r="CM55" s="46"/>
      <c r="CN55" s="46"/>
      <c r="CO55" s="46"/>
      <c r="CP55" s="46"/>
      <c r="CQ55" s="46"/>
      <c r="CR55" s="46"/>
      <c r="CS55" s="46"/>
      <c r="CT55" s="46"/>
      <c r="CU55" s="46"/>
      <c r="CV55" s="46"/>
      <c r="CW55" s="46"/>
      <c r="CX55" s="46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6"/>
      <c r="DJ55" s="46"/>
      <c r="DK55" s="46"/>
      <c r="DL55" s="46"/>
    </row>
    <row r="56" spans="1:116" x14ac:dyDescent="0.25">
      <c r="A56" s="76" t="s">
        <v>146</v>
      </c>
      <c r="B56" s="51">
        <f t="shared" si="1"/>
        <v>9</v>
      </c>
      <c r="C56" s="46"/>
      <c r="D56" s="46"/>
      <c r="E56" s="46"/>
      <c r="F56" s="1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>
        <v>1</v>
      </c>
      <c r="AU56" s="46">
        <v>1</v>
      </c>
      <c r="AV56" s="46">
        <v>1</v>
      </c>
      <c r="AW56" s="46"/>
      <c r="AX56" s="46"/>
      <c r="AY56" s="46">
        <v>1</v>
      </c>
      <c r="AZ56" s="46"/>
      <c r="BA56" s="46"/>
      <c r="BB56" s="46"/>
      <c r="BC56" s="46">
        <v>1</v>
      </c>
      <c r="BD56" s="46"/>
      <c r="BE56" s="46">
        <v>0</v>
      </c>
      <c r="BF56" s="46">
        <v>1</v>
      </c>
      <c r="BG56" s="46"/>
      <c r="BH56" s="46">
        <v>1</v>
      </c>
      <c r="BI56" s="46"/>
      <c r="BJ56" s="46"/>
      <c r="BK56" s="46"/>
      <c r="BL56" s="46"/>
      <c r="BM56" s="46">
        <v>1</v>
      </c>
      <c r="BN56" s="46">
        <v>1</v>
      </c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46"/>
      <c r="CU56" s="46"/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/>
      <c r="DJ56" s="46"/>
      <c r="DK56" s="46"/>
      <c r="DL56" s="46"/>
    </row>
    <row r="57" spans="1:116" x14ac:dyDescent="0.25">
      <c r="A57" s="76" t="s">
        <v>148</v>
      </c>
      <c r="B57" s="51">
        <f t="shared" si="1"/>
        <v>9</v>
      </c>
      <c r="C57" s="46"/>
      <c r="D57" s="46"/>
      <c r="E57" s="46"/>
      <c r="F57" s="1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>
        <v>1</v>
      </c>
      <c r="AO57" s="46">
        <v>1</v>
      </c>
      <c r="AP57" s="46">
        <v>1</v>
      </c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1"/>
      <c r="BD57" s="1"/>
      <c r="BE57" s="46">
        <v>1</v>
      </c>
      <c r="BF57" s="46">
        <v>0</v>
      </c>
      <c r="BG57" s="46">
        <v>1</v>
      </c>
      <c r="BH57" s="46">
        <v>1</v>
      </c>
      <c r="BI57" s="46"/>
      <c r="BJ57" s="46"/>
      <c r="BK57" s="46"/>
      <c r="BL57" s="46"/>
      <c r="BM57" s="46">
        <v>1</v>
      </c>
      <c r="BN57" s="46"/>
      <c r="BO57" s="1"/>
      <c r="BP57" s="1"/>
      <c r="BQ57" s="1"/>
      <c r="BR57" s="46"/>
      <c r="BS57" s="46"/>
      <c r="BT57" s="46"/>
      <c r="BU57" s="46">
        <v>1</v>
      </c>
      <c r="BV57" s="46"/>
      <c r="BW57" s="46"/>
      <c r="BX57" s="46"/>
      <c r="BY57" s="46"/>
      <c r="BZ57" s="46">
        <v>1</v>
      </c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46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6"/>
      <c r="DJ57" s="46"/>
      <c r="DK57" s="46"/>
      <c r="DL57" s="46"/>
    </row>
    <row r="58" spans="1:116" x14ac:dyDescent="0.25">
      <c r="A58" s="76" t="s">
        <v>151</v>
      </c>
      <c r="B58" s="51">
        <f t="shared" si="1"/>
        <v>10</v>
      </c>
      <c r="C58" s="46"/>
      <c r="D58" s="46"/>
      <c r="E58" s="46"/>
      <c r="F58" s="1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>
        <v>1</v>
      </c>
      <c r="AT58" s="46"/>
      <c r="AU58" s="46"/>
      <c r="AV58" s="46">
        <v>1</v>
      </c>
      <c r="AW58" s="46">
        <v>1</v>
      </c>
      <c r="AX58" s="46"/>
      <c r="AY58" s="46"/>
      <c r="AZ58" s="46"/>
      <c r="BA58" s="46"/>
      <c r="BB58" s="46"/>
      <c r="BC58" s="1"/>
      <c r="BD58" s="1"/>
      <c r="BE58" s="46"/>
      <c r="BF58" s="46"/>
      <c r="BG58" s="46">
        <v>0</v>
      </c>
      <c r="BH58" s="46"/>
      <c r="BI58" s="46"/>
      <c r="BJ58" s="46"/>
      <c r="BK58" s="46">
        <v>1</v>
      </c>
      <c r="BL58" s="46">
        <v>1</v>
      </c>
      <c r="BM58" s="46">
        <v>1</v>
      </c>
      <c r="BN58" s="46">
        <v>1</v>
      </c>
      <c r="BO58" s="46"/>
      <c r="BP58" s="46">
        <v>1</v>
      </c>
      <c r="BQ58" s="46"/>
      <c r="BR58" s="46"/>
      <c r="BS58" s="46"/>
      <c r="BT58" s="46"/>
      <c r="BU58" s="46">
        <v>1</v>
      </c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>
        <v>1</v>
      </c>
      <c r="CQ58" s="46"/>
      <c r="CR58" s="46"/>
      <c r="CS58" s="46"/>
      <c r="CT58" s="46"/>
      <c r="CU58" s="46"/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  <c r="DG58" s="46"/>
      <c r="DH58" s="46"/>
      <c r="DI58" s="46"/>
      <c r="DJ58" s="46"/>
      <c r="DK58" s="46"/>
      <c r="DL58" s="46"/>
    </row>
    <row r="59" spans="1:116" x14ac:dyDescent="0.25">
      <c r="A59" s="77" t="s">
        <v>154</v>
      </c>
      <c r="B59" s="51">
        <f t="shared" si="1"/>
        <v>9</v>
      </c>
      <c r="C59" s="46"/>
      <c r="D59" s="46"/>
      <c r="E59" s="46"/>
      <c r="F59" s="1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>
        <v>1</v>
      </c>
      <c r="AI59" s="46"/>
      <c r="AJ59" s="46"/>
      <c r="AK59" s="46"/>
      <c r="AL59" s="46"/>
      <c r="AM59" s="46"/>
      <c r="AN59" s="46">
        <v>1</v>
      </c>
      <c r="AO59" s="46">
        <v>1</v>
      </c>
      <c r="AP59" s="46">
        <v>1</v>
      </c>
      <c r="AQ59" s="46"/>
      <c r="AR59" s="46"/>
      <c r="AS59" s="46"/>
      <c r="AT59" s="46">
        <v>1</v>
      </c>
      <c r="AU59" s="46">
        <v>1</v>
      </c>
      <c r="AV59" s="46"/>
      <c r="AW59" s="46"/>
      <c r="AX59" s="46"/>
      <c r="AY59" s="46"/>
      <c r="AZ59" s="46"/>
      <c r="BA59" s="46"/>
      <c r="BB59" s="46"/>
      <c r="BC59" s="46">
        <v>1</v>
      </c>
      <c r="BD59" s="46"/>
      <c r="BE59" s="46">
        <v>1</v>
      </c>
      <c r="BF59" s="46">
        <v>1</v>
      </c>
      <c r="BG59" s="46"/>
      <c r="BH59" s="46">
        <v>0</v>
      </c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46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  <c r="DJ59" s="46"/>
      <c r="DK59" s="46"/>
      <c r="DL59" s="46"/>
    </row>
    <row r="60" spans="1:116" x14ac:dyDescent="0.25">
      <c r="A60" s="78" t="s">
        <v>156</v>
      </c>
      <c r="B60" s="51">
        <f t="shared" si="1"/>
        <v>10</v>
      </c>
      <c r="C60" s="46"/>
      <c r="D60" s="46"/>
      <c r="E60" s="46"/>
      <c r="F60" s="1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>
        <v>0</v>
      </c>
      <c r="BJ60" s="46">
        <v>1</v>
      </c>
      <c r="BK60" s="46"/>
      <c r="BL60" s="46"/>
      <c r="BM60" s="46"/>
      <c r="BN60" s="46"/>
      <c r="BO60" s="46">
        <v>1</v>
      </c>
      <c r="BP60" s="46">
        <v>1</v>
      </c>
      <c r="BQ60" s="46">
        <v>1</v>
      </c>
      <c r="BR60" s="46"/>
      <c r="BS60" s="46"/>
      <c r="BT60" s="46"/>
      <c r="BU60" s="46"/>
      <c r="BV60" s="46"/>
      <c r="BW60" s="46"/>
      <c r="BX60" s="46"/>
      <c r="BY60" s="46"/>
      <c r="BZ60" s="46"/>
      <c r="CA60" s="46"/>
      <c r="CB60" s="46"/>
      <c r="CC60" s="46"/>
      <c r="CD60" s="46"/>
      <c r="CE60" s="46"/>
      <c r="CF60" s="46"/>
      <c r="CG60" s="46"/>
      <c r="CH60" s="46"/>
      <c r="CI60" s="46">
        <v>1</v>
      </c>
      <c r="CJ60" s="46"/>
      <c r="CK60" s="46"/>
      <c r="CL60" s="46"/>
      <c r="CM60" s="46"/>
      <c r="CN60" s="46"/>
      <c r="CO60" s="46">
        <v>1</v>
      </c>
      <c r="CP60" s="46"/>
      <c r="CQ60" s="46"/>
      <c r="CR60" s="46">
        <v>1</v>
      </c>
      <c r="CS60" s="46">
        <v>1</v>
      </c>
      <c r="CT60" s="46"/>
      <c r="CU60" s="46">
        <v>1</v>
      </c>
      <c r="CV60" s="46"/>
      <c r="CW60" s="46"/>
      <c r="CX60" s="46"/>
      <c r="CY60" s="46"/>
      <c r="CZ60" s="46"/>
      <c r="DA60" s="46"/>
      <c r="DB60" s="46"/>
      <c r="DC60" s="46"/>
      <c r="DD60" s="46"/>
      <c r="DE60" s="46">
        <v>1</v>
      </c>
      <c r="DF60" s="46"/>
      <c r="DG60" s="46"/>
      <c r="DH60" s="46"/>
      <c r="DI60" s="46"/>
      <c r="DJ60" s="46"/>
      <c r="DK60" s="46"/>
      <c r="DL60" s="46"/>
    </row>
    <row r="61" spans="1:116" x14ac:dyDescent="0.25">
      <c r="A61" s="78" t="s">
        <v>158</v>
      </c>
      <c r="B61" s="51">
        <f t="shared" si="1"/>
        <v>5</v>
      </c>
      <c r="C61" s="46"/>
      <c r="D61" s="46"/>
      <c r="E61" s="46"/>
      <c r="F61" s="1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>
        <v>1</v>
      </c>
      <c r="BJ61" s="46">
        <v>0</v>
      </c>
      <c r="BK61" s="46">
        <v>1</v>
      </c>
      <c r="BL61" s="46"/>
      <c r="BM61" s="46"/>
      <c r="BN61" s="46"/>
      <c r="BO61" s="46"/>
      <c r="BP61" s="46"/>
      <c r="BQ61" s="46"/>
      <c r="BR61" s="46"/>
      <c r="BS61" s="46">
        <v>1</v>
      </c>
      <c r="BT61" s="46"/>
      <c r="BU61" s="46"/>
      <c r="BV61" s="46"/>
      <c r="BW61" s="46"/>
      <c r="BX61" s="46"/>
      <c r="BY61" s="46"/>
      <c r="BZ61" s="46"/>
      <c r="CA61" s="46"/>
      <c r="CB61" s="46"/>
      <c r="CC61" s="46"/>
      <c r="CD61" s="46"/>
      <c r="CE61" s="46"/>
      <c r="CF61" s="46"/>
      <c r="CG61" s="46"/>
      <c r="CH61" s="46"/>
      <c r="CI61" s="46"/>
      <c r="CJ61" s="46"/>
      <c r="CK61" s="46"/>
      <c r="CL61" s="46"/>
      <c r="CM61" s="46"/>
      <c r="CN61" s="46"/>
      <c r="CO61" s="46"/>
      <c r="CP61" s="46"/>
      <c r="CQ61" s="46"/>
      <c r="CR61" s="46"/>
      <c r="CS61" s="46"/>
      <c r="CT61" s="46"/>
      <c r="CU61" s="46">
        <v>1</v>
      </c>
      <c r="CV61" s="46"/>
      <c r="CW61" s="46"/>
      <c r="CX61" s="46"/>
      <c r="CY61" s="46"/>
      <c r="CZ61" s="46"/>
      <c r="DA61" s="46"/>
      <c r="DB61" s="46"/>
      <c r="DC61" s="46"/>
      <c r="DD61" s="46"/>
      <c r="DE61" s="46">
        <v>1</v>
      </c>
      <c r="DF61" s="46"/>
      <c r="DG61" s="46"/>
      <c r="DH61" s="46"/>
      <c r="DI61" s="46"/>
      <c r="DJ61" s="46"/>
      <c r="DK61" s="46"/>
      <c r="DL61" s="46"/>
    </row>
    <row r="62" spans="1:116" x14ac:dyDescent="0.25">
      <c r="A62" s="78" t="s">
        <v>161</v>
      </c>
      <c r="B62" s="51">
        <f t="shared" si="1"/>
        <v>4</v>
      </c>
      <c r="C62" s="46"/>
      <c r="D62" s="46"/>
      <c r="E62" s="46"/>
      <c r="F62" s="14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>
        <v>1</v>
      </c>
      <c r="BJ62" s="46">
        <v>1</v>
      </c>
      <c r="BK62" s="46">
        <v>0</v>
      </c>
      <c r="BL62" s="46"/>
      <c r="BM62" s="46"/>
      <c r="BN62" s="46"/>
      <c r="BO62" s="46"/>
      <c r="BP62" s="46">
        <v>1</v>
      </c>
      <c r="BQ62" s="46">
        <v>1</v>
      </c>
      <c r="BR62" s="46"/>
      <c r="BS62" s="46"/>
      <c r="BT62" s="46"/>
      <c r="BU62" s="46"/>
      <c r="BV62" s="46"/>
      <c r="BW62" s="46"/>
      <c r="BX62" s="46"/>
      <c r="BY62" s="46"/>
      <c r="BZ62" s="46"/>
      <c r="CA62" s="46"/>
      <c r="CB62" s="46"/>
      <c r="CC62" s="46"/>
      <c r="CD62" s="46"/>
      <c r="CE62" s="46"/>
      <c r="CF62" s="46"/>
      <c r="CG62" s="46"/>
      <c r="CH62" s="46"/>
      <c r="CI62" s="46"/>
      <c r="CJ62" s="46"/>
      <c r="CK62" s="46"/>
      <c r="CL62" s="46"/>
      <c r="CM62" s="46"/>
      <c r="CN62" s="46"/>
      <c r="CO62" s="46"/>
      <c r="CP62" s="46"/>
      <c r="CQ62" s="46"/>
      <c r="CR62" s="46"/>
      <c r="CS62" s="46"/>
      <c r="CT62" s="46"/>
      <c r="CU62" s="46"/>
      <c r="CV62" s="46"/>
      <c r="CW62" s="46"/>
      <c r="CX62" s="46"/>
      <c r="CY62" s="46"/>
      <c r="CZ62" s="46"/>
      <c r="DA62" s="46"/>
      <c r="DB62" s="46"/>
      <c r="DC62" s="46"/>
      <c r="DD62" s="46"/>
      <c r="DE62" s="46"/>
      <c r="DF62" s="46"/>
      <c r="DG62" s="46"/>
      <c r="DH62" s="46"/>
      <c r="DI62" s="46"/>
      <c r="DJ62" s="46"/>
      <c r="DK62" s="46"/>
      <c r="DL62" s="46"/>
    </row>
    <row r="63" spans="1:116" x14ac:dyDescent="0.25">
      <c r="A63" s="78" t="s">
        <v>164</v>
      </c>
      <c r="B63" s="51">
        <f t="shared" si="1"/>
        <v>5</v>
      </c>
      <c r="C63" s="46"/>
      <c r="D63" s="46"/>
      <c r="E63" s="46"/>
      <c r="F63" s="14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>
        <v>1</v>
      </c>
      <c r="BK63" s="46">
        <v>1</v>
      </c>
      <c r="BL63" s="46">
        <v>0</v>
      </c>
      <c r="BM63" s="46"/>
      <c r="BN63" s="46"/>
      <c r="BO63" s="46"/>
      <c r="BP63" s="46"/>
      <c r="BQ63" s="46"/>
      <c r="BR63" s="46"/>
      <c r="BS63" s="46">
        <v>1</v>
      </c>
      <c r="BT63" s="46">
        <v>1</v>
      </c>
      <c r="BU63" s="46">
        <v>1</v>
      </c>
      <c r="BV63" s="46"/>
      <c r="BW63" s="46"/>
      <c r="BX63" s="46"/>
      <c r="BY63" s="46"/>
      <c r="BZ63" s="46"/>
      <c r="CA63" s="46"/>
      <c r="CB63" s="46"/>
      <c r="CC63" s="46"/>
      <c r="CD63" s="46"/>
      <c r="CE63" s="46"/>
      <c r="CF63" s="46"/>
      <c r="CG63" s="46"/>
      <c r="CH63" s="46"/>
      <c r="CI63" s="46"/>
      <c r="CJ63" s="46"/>
      <c r="CK63" s="46"/>
      <c r="CL63" s="46"/>
      <c r="CM63" s="46"/>
      <c r="CN63" s="46"/>
      <c r="CO63" s="46"/>
      <c r="CP63" s="46"/>
      <c r="CQ63" s="46"/>
      <c r="CR63" s="46"/>
      <c r="CS63" s="46"/>
      <c r="CT63" s="46"/>
      <c r="CU63" s="46"/>
      <c r="CV63" s="46"/>
      <c r="CW63" s="46"/>
      <c r="CX63" s="46"/>
      <c r="CY63" s="46"/>
      <c r="CZ63" s="46"/>
      <c r="DA63" s="46"/>
      <c r="DB63" s="46"/>
      <c r="DC63" s="46"/>
      <c r="DD63" s="46"/>
      <c r="DE63" s="46"/>
      <c r="DF63" s="46"/>
      <c r="DG63" s="46"/>
      <c r="DH63" s="46"/>
      <c r="DI63" s="46"/>
      <c r="DJ63" s="46"/>
      <c r="DK63" s="46"/>
      <c r="DL63" s="46"/>
    </row>
    <row r="64" spans="1:116" x14ac:dyDescent="0.25">
      <c r="A64" s="78" t="s">
        <v>167</v>
      </c>
      <c r="B64" s="51">
        <f t="shared" si="1"/>
        <v>7</v>
      </c>
      <c r="C64" s="46"/>
      <c r="D64" s="46"/>
      <c r="E64" s="46"/>
      <c r="F64" s="14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>
        <v>1</v>
      </c>
      <c r="BC64" s="46">
        <v>1</v>
      </c>
      <c r="BD64" s="46"/>
      <c r="BE64" s="46">
        <v>1</v>
      </c>
      <c r="BF64" s="46">
        <v>1</v>
      </c>
      <c r="BG64" s="46">
        <v>1</v>
      </c>
      <c r="BH64" s="46"/>
      <c r="BI64" s="46"/>
      <c r="BJ64" s="46"/>
      <c r="BK64" s="46"/>
      <c r="BL64" s="46"/>
      <c r="BM64" s="46">
        <v>0</v>
      </c>
      <c r="BN64" s="46">
        <v>1</v>
      </c>
      <c r="BO64" s="46"/>
      <c r="BP64" s="46"/>
      <c r="BQ64" s="46"/>
      <c r="BR64" s="46"/>
      <c r="BS64" s="46"/>
      <c r="BT64" s="46"/>
      <c r="BU64" s="46">
        <v>1</v>
      </c>
      <c r="BV64" s="46"/>
      <c r="BW64" s="46"/>
      <c r="BX64" s="46"/>
      <c r="BY64" s="46"/>
      <c r="BZ64" s="46"/>
      <c r="CA64" s="46"/>
      <c r="CB64" s="46"/>
      <c r="CC64" s="46"/>
      <c r="CD64" s="46"/>
      <c r="CE64" s="46"/>
      <c r="CF64" s="46"/>
      <c r="CG64" s="46"/>
      <c r="CH64" s="46"/>
      <c r="CI64" s="46"/>
      <c r="CJ64" s="46"/>
      <c r="CK64" s="46"/>
      <c r="CL64" s="46"/>
      <c r="CM64" s="46"/>
      <c r="CN64" s="46"/>
      <c r="CO64" s="46"/>
      <c r="CP64" s="46"/>
      <c r="CQ64" s="46"/>
      <c r="CR64" s="46"/>
      <c r="CS64" s="46"/>
      <c r="CT64" s="46"/>
      <c r="CU64" s="46"/>
      <c r="CV64" s="46"/>
      <c r="CW64" s="46"/>
      <c r="CX64" s="46"/>
      <c r="CY64" s="46"/>
      <c r="CZ64" s="46"/>
      <c r="DA64" s="46"/>
      <c r="DB64" s="46"/>
      <c r="DC64" s="46"/>
      <c r="DD64" s="46"/>
      <c r="DE64" s="46"/>
      <c r="DF64" s="46"/>
      <c r="DG64" s="46"/>
      <c r="DH64" s="46"/>
      <c r="DI64" s="46"/>
      <c r="DJ64" s="46"/>
      <c r="DK64" s="46"/>
      <c r="DL64" s="46"/>
    </row>
    <row r="65" spans="1:116" x14ac:dyDescent="0.25">
      <c r="A65" s="78" t="s">
        <v>169</v>
      </c>
      <c r="B65" s="51">
        <f t="shared" si="1"/>
        <v>8</v>
      </c>
      <c r="C65" s="46"/>
      <c r="D65" s="46"/>
      <c r="E65" s="46"/>
      <c r="F65" s="1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>
        <v>1</v>
      </c>
      <c r="AT65" s="46"/>
      <c r="AU65" s="46">
        <v>1</v>
      </c>
      <c r="AV65" s="46">
        <v>1</v>
      </c>
      <c r="AW65" s="46">
        <v>1</v>
      </c>
      <c r="AX65" s="46"/>
      <c r="AY65" s="46"/>
      <c r="AZ65" s="46"/>
      <c r="BA65" s="46"/>
      <c r="BB65" s="46">
        <v>1</v>
      </c>
      <c r="BC65" s="46">
        <v>1</v>
      </c>
      <c r="BD65" s="46"/>
      <c r="BE65" s="46"/>
      <c r="BF65" s="46"/>
      <c r="BG65" s="46">
        <v>1</v>
      </c>
      <c r="BH65" s="46"/>
      <c r="BI65" s="46"/>
      <c r="BJ65" s="46"/>
      <c r="BK65" s="46"/>
      <c r="BL65" s="46"/>
      <c r="BM65" s="46">
        <v>1</v>
      </c>
      <c r="BN65" s="46">
        <v>0</v>
      </c>
      <c r="BO65" s="46"/>
      <c r="BP65" s="46"/>
      <c r="BQ65" s="46"/>
      <c r="BR65" s="46"/>
      <c r="BS65" s="46"/>
      <c r="BT65" s="46"/>
      <c r="BU65" s="46"/>
      <c r="BV65" s="46"/>
      <c r="BW65" s="46"/>
      <c r="BX65" s="46"/>
      <c r="BY65" s="46"/>
      <c r="BZ65" s="46"/>
      <c r="CA65" s="46"/>
      <c r="CB65" s="46"/>
      <c r="CC65" s="46"/>
      <c r="CD65" s="46"/>
      <c r="CE65" s="46"/>
      <c r="CF65" s="46"/>
      <c r="CG65" s="46"/>
      <c r="CH65" s="46"/>
      <c r="CI65" s="46"/>
      <c r="CJ65" s="46"/>
      <c r="CK65" s="46"/>
      <c r="CL65" s="46"/>
      <c r="CM65" s="46"/>
      <c r="CN65" s="46"/>
      <c r="CO65" s="46"/>
      <c r="CP65" s="46"/>
      <c r="CQ65" s="46"/>
      <c r="CR65" s="46"/>
      <c r="CS65" s="46"/>
      <c r="CT65" s="46"/>
      <c r="CU65" s="46"/>
      <c r="CV65" s="46"/>
      <c r="CW65" s="46"/>
      <c r="CX65" s="46"/>
      <c r="CY65" s="46"/>
      <c r="CZ65" s="46"/>
      <c r="DA65" s="46"/>
      <c r="DB65" s="46"/>
      <c r="DC65" s="46"/>
      <c r="DD65" s="46"/>
      <c r="DE65" s="46"/>
      <c r="DF65" s="46"/>
      <c r="DG65" s="46"/>
      <c r="DH65" s="46"/>
      <c r="DI65" s="46"/>
      <c r="DJ65" s="46"/>
      <c r="DK65" s="46"/>
      <c r="DL65" s="46"/>
    </row>
    <row r="66" spans="1:116" x14ac:dyDescent="0.25">
      <c r="A66" s="78" t="s">
        <v>172</v>
      </c>
      <c r="B66" s="51">
        <f t="shared" si="1"/>
        <v>8</v>
      </c>
      <c r="C66" s="46"/>
      <c r="D66" s="46"/>
      <c r="E66" s="46"/>
      <c r="F66" s="1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1"/>
      <c r="BD66" s="1"/>
      <c r="BE66" s="46"/>
      <c r="BF66" s="46"/>
      <c r="BG66" s="46"/>
      <c r="BH66" s="46"/>
      <c r="BI66" s="46">
        <v>1</v>
      </c>
      <c r="BJ66" s="46"/>
      <c r="BK66" s="46"/>
      <c r="BL66" s="46"/>
      <c r="BM66" s="1"/>
      <c r="BN66" s="46"/>
      <c r="BO66" s="46">
        <v>0</v>
      </c>
      <c r="BP66" s="46"/>
      <c r="BQ66" s="46">
        <v>1</v>
      </c>
      <c r="BR66" s="46"/>
      <c r="BS66" s="46"/>
      <c r="BT66" s="46"/>
      <c r="BU66" s="46"/>
      <c r="BV66" s="46"/>
      <c r="BW66" s="46"/>
      <c r="BX66" s="46"/>
      <c r="BY66" s="46"/>
      <c r="BZ66" s="46"/>
      <c r="CA66" s="46"/>
      <c r="CB66" s="46"/>
      <c r="CC66" s="46"/>
      <c r="CD66" s="46"/>
      <c r="CE66" s="46">
        <v>1</v>
      </c>
      <c r="CF66" s="46">
        <v>1</v>
      </c>
      <c r="CG66" s="46"/>
      <c r="CH66" s="46"/>
      <c r="CI66" s="46"/>
      <c r="CJ66" s="46"/>
      <c r="CK66" s="46"/>
      <c r="CL66" s="46"/>
      <c r="CM66" s="46"/>
      <c r="CN66" s="46">
        <v>1</v>
      </c>
      <c r="CO66" s="46">
        <v>1</v>
      </c>
      <c r="CP66" s="46">
        <v>1</v>
      </c>
      <c r="CQ66" s="46"/>
      <c r="CR66" s="46"/>
      <c r="CS66" s="46">
        <v>1</v>
      </c>
      <c r="CT66" s="46"/>
      <c r="CU66" s="46"/>
      <c r="CV66" s="46"/>
      <c r="CW66" s="46"/>
      <c r="CX66" s="46"/>
      <c r="CY66" s="46"/>
      <c r="CZ66" s="46"/>
      <c r="DA66" s="46"/>
      <c r="DB66" s="46"/>
      <c r="DC66" s="46"/>
      <c r="DD66" s="46"/>
      <c r="DE66" s="46"/>
      <c r="DF66" s="46"/>
      <c r="DG66" s="46"/>
      <c r="DH66" s="46"/>
      <c r="DI66" s="46"/>
      <c r="DJ66" s="46"/>
      <c r="DK66" s="46"/>
      <c r="DL66" s="46"/>
    </row>
    <row r="67" spans="1:116" x14ac:dyDescent="0.25">
      <c r="A67" s="79" t="s">
        <v>175</v>
      </c>
      <c r="B67" s="51">
        <f t="shared" si="1"/>
        <v>6</v>
      </c>
      <c r="C67" s="46"/>
      <c r="D67" s="46"/>
      <c r="E67" s="46"/>
      <c r="F67" s="49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1"/>
      <c r="BD67" s="1"/>
      <c r="BE67" s="46"/>
      <c r="BF67" s="46"/>
      <c r="BG67" s="46"/>
      <c r="BH67" s="46"/>
      <c r="BI67" s="46"/>
      <c r="BJ67" s="46"/>
      <c r="BK67" s="46">
        <v>1</v>
      </c>
      <c r="BL67" s="46"/>
      <c r="BM67" s="1"/>
      <c r="BN67" s="46"/>
      <c r="BO67" s="46"/>
      <c r="BP67" s="46">
        <v>0</v>
      </c>
      <c r="BQ67" s="46">
        <v>1</v>
      </c>
      <c r="BR67" s="46"/>
      <c r="BS67" s="46"/>
      <c r="BT67" s="46"/>
      <c r="BU67" s="46"/>
      <c r="BV67" s="46"/>
      <c r="BW67" s="46"/>
      <c r="BX67" s="46"/>
      <c r="BY67" s="46"/>
      <c r="BZ67" s="46"/>
      <c r="CA67" s="46"/>
      <c r="CB67" s="46"/>
      <c r="CC67" s="46"/>
      <c r="CD67" s="46"/>
      <c r="CE67" s="46"/>
      <c r="CF67" s="46"/>
      <c r="CG67" s="46">
        <v>1</v>
      </c>
      <c r="CH67" s="46"/>
      <c r="CI67" s="46">
        <v>1</v>
      </c>
      <c r="CJ67" s="46"/>
      <c r="CK67" s="46"/>
      <c r="CL67" s="46"/>
      <c r="CM67" s="46"/>
      <c r="CN67" s="46"/>
      <c r="CO67" s="46">
        <v>1</v>
      </c>
      <c r="CP67" s="46">
        <v>1</v>
      </c>
      <c r="CQ67" s="46"/>
      <c r="CR67" s="46"/>
      <c r="CS67" s="46"/>
      <c r="CT67" s="46"/>
      <c r="CU67" s="46"/>
      <c r="CV67" s="46"/>
      <c r="CW67" s="46"/>
      <c r="CX67" s="46"/>
      <c r="CY67" s="46"/>
      <c r="CZ67" s="46"/>
      <c r="DA67" s="46"/>
      <c r="DB67" s="46"/>
      <c r="DC67" s="46"/>
      <c r="DD67" s="46"/>
      <c r="DE67" s="46"/>
      <c r="DF67" s="46"/>
      <c r="DG67" s="46"/>
      <c r="DH67" s="46"/>
      <c r="DI67" s="46"/>
      <c r="DJ67" s="46"/>
      <c r="DK67" s="46"/>
      <c r="DL67" s="46"/>
    </row>
    <row r="68" spans="1:116" x14ac:dyDescent="0.25">
      <c r="A68" s="78" t="s">
        <v>177</v>
      </c>
      <c r="B68" s="51">
        <f t="shared" si="1"/>
        <v>8</v>
      </c>
      <c r="C68" s="46"/>
      <c r="D68" s="46"/>
      <c r="E68" s="46"/>
      <c r="F68" s="1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>
        <v>1</v>
      </c>
      <c r="AT68" s="46"/>
      <c r="AU68" s="46"/>
      <c r="AV68" s="46"/>
      <c r="AW68" s="46"/>
      <c r="AX68" s="46"/>
      <c r="AY68" s="46"/>
      <c r="AZ68" s="46"/>
      <c r="BA68" s="46"/>
      <c r="BB68" s="46"/>
      <c r="BC68" s="1"/>
      <c r="BD68" s="1"/>
      <c r="BE68" s="46"/>
      <c r="BF68" s="46"/>
      <c r="BG68" s="46"/>
      <c r="BH68" s="46"/>
      <c r="BI68" s="46">
        <v>1</v>
      </c>
      <c r="BJ68" s="46">
        <v>1</v>
      </c>
      <c r="BK68" s="46"/>
      <c r="BL68" s="46"/>
      <c r="BM68" s="46"/>
      <c r="BN68" s="46"/>
      <c r="BO68" s="46">
        <v>1</v>
      </c>
      <c r="BP68" s="46">
        <v>1</v>
      </c>
      <c r="BQ68" s="46">
        <v>0</v>
      </c>
      <c r="BR68" s="46"/>
      <c r="BS68" s="46"/>
      <c r="BT68" s="46"/>
      <c r="BU68" s="46"/>
      <c r="BV68" s="46"/>
      <c r="BW68" s="46"/>
      <c r="BX68" s="46"/>
      <c r="BY68" s="46"/>
      <c r="BZ68" s="46"/>
      <c r="CA68" s="46"/>
      <c r="CB68" s="46"/>
      <c r="CC68" s="46"/>
      <c r="CD68" s="46"/>
      <c r="CE68" s="46"/>
      <c r="CF68" s="46"/>
      <c r="CG68" s="46"/>
      <c r="CH68" s="46"/>
      <c r="CI68" s="46">
        <v>1</v>
      </c>
      <c r="CJ68" s="46"/>
      <c r="CK68" s="46"/>
      <c r="CL68" s="46"/>
      <c r="CM68" s="46"/>
      <c r="CN68" s="46"/>
      <c r="CO68" s="46">
        <v>1</v>
      </c>
      <c r="CP68" s="46">
        <v>1</v>
      </c>
      <c r="CQ68" s="46"/>
      <c r="CR68" s="46"/>
      <c r="CS68" s="46"/>
      <c r="CT68" s="46"/>
      <c r="CU68" s="46"/>
      <c r="CV68" s="46"/>
      <c r="CW68" s="46"/>
      <c r="CX68" s="46"/>
      <c r="CY68" s="46"/>
      <c r="CZ68" s="46"/>
      <c r="DA68" s="46"/>
      <c r="DB68" s="46"/>
      <c r="DC68" s="46"/>
      <c r="DD68" s="46"/>
      <c r="DE68" s="46"/>
      <c r="DF68" s="46"/>
      <c r="DG68" s="46"/>
      <c r="DH68" s="46"/>
      <c r="DI68" s="46"/>
      <c r="DJ68" s="46"/>
      <c r="DK68" s="46"/>
      <c r="DL68" s="46"/>
    </row>
    <row r="69" spans="1:116" ht="14.25" customHeight="1" x14ac:dyDescent="0.25">
      <c r="A69" s="80" t="s">
        <v>180</v>
      </c>
      <c r="B69" s="57">
        <f t="shared" si="1"/>
        <v>6</v>
      </c>
      <c r="C69" s="46"/>
      <c r="D69" s="46"/>
      <c r="E69" s="46"/>
      <c r="F69" s="1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6"/>
      <c r="BK69" s="46"/>
      <c r="BL69" s="46">
        <v>1</v>
      </c>
      <c r="BM69" s="46"/>
      <c r="BN69" s="46"/>
      <c r="BO69" s="46"/>
      <c r="BP69" s="46"/>
      <c r="BQ69" s="46"/>
      <c r="BR69" s="46">
        <v>0</v>
      </c>
      <c r="BS69" s="46">
        <v>1</v>
      </c>
      <c r="BT69" s="46">
        <v>1</v>
      </c>
      <c r="BU69" s="46"/>
      <c r="BV69" s="46">
        <v>1</v>
      </c>
      <c r="BW69" s="46"/>
      <c r="BX69" s="46">
        <v>1</v>
      </c>
      <c r="BY69" s="46">
        <v>1</v>
      </c>
      <c r="BZ69" s="46"/>
      <c r="CA69" s="46"/>
      <c r="CB69" s="46"/>
      <c r="CC69" s="46"/>
      <c r="CD69" s="46"/>
      <c r="CE69" s="46"/>
      <c r="CF69" s="46"/>
      <c r="CG69" s="46"/>
      <c r="CH69" s="46"/>
      <c r="CI69" s="46"/>
      <c r="CJ69" s="46"/>
      <c r="CK69" s="46"/>
      <c r="CL69" s="46"/>
      <c r="CM69" s="46"/>
      <c r="CN69" s="46"/>
      <c r="CO69" s="46"/>
      <c r="CP69" s="46"/>
      <c r="CQ69" s="46"/>
      <c r="CR69" s="46"/>
      <c r="CS69" s="46"/>
      <c r="CT69" s="46"/>
      <c r="CU69" s="46"/>
      <c r="CV69" s="46"/>
      <c r="CW69" s="46"/>
      <c r="CX69" s="46"/>
      <c r="CY69" s="46"/>
      <c r="CZ69" s="46"/>
      <c r="DA69" s="46"/>
      <c r="DB69" s="46"/>
      <c r="DC69" s="46"/>
      <c r="DD69" s="46"/>
      <c r="DE69" s="46"/>
      <c r="DF69" s="46"/>
      <c r="DG69" s="46"/>
      <c r="DH69" s="46"/>
      <c r="DI69" s="46"/>
      <c r="DJ69" s="46"/>
      <c r="DK69" s="46"/>
      <c r="DL69" s="46"/>
    </row>
    <row r="70" spans="1:116" x14ac:dyDescent="0.25">
      <c r="A70" s="80" t="s">
        <v>183</v>
      </c>
      <c r="B70" s="57">
        <f t="shared" ref="B70:B115" si="2">SUM(C70:DL70)</f>
        <v>8</v>
      </c>
      <c r="C70" s="46"/>
      <c r="D70" s="46"/>
      <c r="E70" s="46"/>
      <c r="F70" s="1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6"/>
      <c r="BK70" s="46"/>
      <c r="BL70" s="46">
        <v>1</v>
      </c>
      <c r="BM70" s="46"/>
      <c r="BN70" s="46"/>
      <c r="BO70" s="46"/>
      <c r="BP70" s="46"/>
      <c r="BQ70" s="46"/>
      <c r="BR70" s="46">
        <v>1</v>
      </c>
      <c r="BS70" s="46">
        <v>0</v>
      </c>
      <c r="BT70" s="46"/>
      <c r="BU70" s="46"/>
      <c r="BV70" s="46">
        <v>1</v>
      </c>
      <c r="BW70" s="46"/>
      <c r="BX70" s="46"/>
      <c r="BY70" s="46">
        <v>1</v>
      </c>
      <c r="BZ70" s="46"/>
      <c r="CA70" s="46"/>
      <c r="CB70" s="46"/>
      <c r="CC70" s="46"/>
      <c r="CD70" s="46"/>
      <c r="CE70" s="46"/>
      <c r="CF70" s="46"/>
      <c r="CG70" s="46"/>
      <c r="CH70" s="46"/>
      <c r="CI70" s="46"/>
      <c r="CJ70" s="46"/>
      <c r="CK70" s="46"/>
      <c r="CL70" s="46"/>
      <c r="CM70" s="46"/>
      <c r="CN70" s="46"/>
      <c r="CO70" s="46"/>
      <c r="CP70" s="46"/>
      <c r="CQ70" s="46"/>
      <c r="CR70" s="46"/>
      <c r="CS70" s="46"/>
      <c r="CT70" s="46"/>
      <c r="CU70" s="46">
        <v>1</v>
      </c>
      <c r="CV70" s="46"/>
      <c r="CW70" s="46"/>
      <c r="CX70" s="46"/>
      <c r="CY70" s="46"/>
      <c r="CZ70" s="46"/>
      <c r="DA70" s="46">
        <v>1</v>
      </c>
      <c r="DB70" s="46"/>
      <c r="DC70" s="46"/>
      <c r="DD70" s="46"/>
      <c r="DE70" s="46">
        <v>1</v>
      </c>
      <c r="DF70" s="46"/>
      <c r="DG70" s="46"/>
      <c r="DH70" s="46"/>
      <c r="DI70" s="46"/>
      <c r="DJ70" s="46"/>
      <c r="DK70" s="46">
        <v>1</v>
      </c>
      <c r="DL70" s="46"/>
    </row>
    <row r="71" spans="1:116" x14ac:dyDescent="0.25">
      <c r="A71" s="80" t="s">
        <v>186</v>
      </c>
      <c r="B71" s="57">
        <f t="shared" si="2"/>
        <v>4</v>
      </c>
      <c r="C71" s="46"/>
      <c r="D71" s="46"/>
      <c r="E71" s="46"/>
      <c r="F71" s="1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6"/>
      <c r="BK71" s="46"/>
      <c r="BL71" s="46"/>
      <c r="BM71" s="46"/>
      <c r="BN71" s="46"/>
      <c r="BO71" s="46"/>
      <c r="BP71" s="46"/>
      <c r="BQ71" s="46"/>
      <c r="BR71" s="46"/>
      <c r="BS71" s="46">
        <v>1</v>
      </c>
      <c r="BT71" s="46">
        <v>0</v>
      </c>
      <c r="BU71" s="46">
        <v>1</v>
      </c>
      <c r="BV71" s="46"/>
      <c r="BW71" s="46"/>
      <c r="BX71" s="46">
        <v>1</v>
      </c>
      <c r="BY71" s="46"/>
      <c r="BZ71" s="46">
        <v>1</v>
      </c>
      <c r="CA71" s="46"/>
      <c r="CB71" s="46"/>
      <c r="CC71" s="46"/>
      <c r="CD71" s="46"/>
      <c r="CE71" s="46"/>
      <c r="CF71" s="46"/>
      <c r="CG71" s="46"/>
      <c r="CH71" s="46"/>
      <c r="CI71" s="46"/>
      <c r="CJ71" s="46"/>
      <c r="CK71" s="46"/>
      <c r="CL71" s="46"/>
      <c r="CM71" s="46"/>
      <c r="CN71" s="46"/>
      <c r="CO71" s="46"/>
      <c r="CP71" s="46"/>
      <c r="CQ71" s="46"/>
      <c r="CR71" s="46"/>
      <c r="CS71" s="46"/>
      <c r="CT71" s="46"/>
      <c r="CU71" s="46"/>
      <c r="CV71" s="46"/>
      <c r="CW71" s="46"/>
      <c r="CX71" s="46"/>
      <c r="CY71" s="46"/>
      <c r="CZ71" s="46"/>
      <c r="DA71" s="46"/>
      <c r="DB71" s="46"/>
      <c r="DC71" s="46"/>
      <c r="DD71" s="46"/>
      <c r="DE71" s="46"/>
      <c r="DF71" s="46"/>
      <c r="DG71" s="46"/>
      <c r="DH71" s="46"/>
      <c r="DI71" s="46"/>
      <c r="DJ71" s="46"/>
      <c r="DK71" s="46"/>
      <c r="DL71" s="46"/>
    </row>
    <row r="72" spans="1:116" x14ac:dyDescent="0.25">
      <c r="A72" s="80" t="s">
        <v>189</v>
      </c>
      <c r="B72" s="57">
        <f t="shared" si="2"/>
        <v>9</v>
      </c>
      <c r="C72" s="46"/>
      <c r="D72" s="46"/>
      <c r="E72" s="46"/>
      <c r="F72" s="14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>
        <v>1</v>
      </c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>
        <v>1</v>
      </c>
      <c r="BG72" s="46">
        <v>1</v>
      </c>
      <c r="BH72" s="46"/>
      <c r="BI72" s="46"/>
      <c r="BJ72" s="46"/>
      <c r="BK72" s="46">
        <v>1</v>
      </c>
      <c r="BL72" s="46">
        <v>1</v>
      </c>
      <c r="BM72" s="46"/>
      <c r="BN72" s="46"/>
      <c r="BO72" s="46"/>
      <c r="BP72" s="46">
        <v>1</v>
      </c>
      <c r="BQ72" s="46"/>
      <c r="BR72" s="46"/>
      <c r="BS72" s="46"/>
      <c r="BT72" s="46">
        <v>1</v>
      </c>
      <c r="BU72" s="46">
        <v>0</v>
      </c>
      <c r="BV72" s="46"/>
      <c r="BW72" s="46"/>
      <c r="BX72" s="46"/>
      <c r="BY72" s="46"/>
      <c r="BZ72" s="46">
        <v>1</v>
      </c>
      <c r="CA72" s="46"/>
      <c r="CB72" s="46"/>
      <c r="CC72" s="46"/>
      <c r="CD72" s="46"/>
      <c r="CE72" s="46"/>
      <c r="CF72" s="46"/>
      <c r="CG72" s="46"/>
      <c r="CH72" s="46"/>
      <c r="CI72" s="46"/>
      <c r="CJ72" s="46"/>
      <c r="CK72" s="46"/>
      <c r="CL72" s="46"/>
      <c r="CM72" s="46"/>
      <c r="CN72" s="46"/>
      <c r="CO72" s="46"/>
      <c r="CP72" s="46">
        <v>1</v>
      </c>
      <c r="CQ72" s="46"/>
      <c r="CR72" s="46"/>
      <c r="CS72" s="46"/>
      <c r="CT72" s="46"/>
      <c r="CU72" s="46"/>
      <c r="CV72" s="46"/>
      <c r="CW72" s="46"/>
      <c r="CX72" s="46"/>
      <c r="CY72" s="46"/>
      <c r="CZ72" s="46"/>
      <c r="DA72" s="46"/>
      <c r="DB72" s="46"/>
      <c r="DC72" s="46"/>
      <c r="DD72" s="46"/>
      <c r="DE72" s="46"/>
      <c r="DF72" s="46"/>
      <c r="DG72" s="46"/>
      <c r="DH72" s="46"/>
      <c r="DI72" s="46"/>
      <c r="DJ72" s="46"/>
      <c r="DK72" s="46"/>
      <c r="DL72" s="46"/>
    </row>
    <row r="73" spans="1:116" x14ac:dyDescent="0.25">
      <c r="A73" s="81" t="s">
        <v>192</v>
      </c>
      <c r="B73" s="57">
        <f t="shared" si="2"/>
        <v>4</v>
      </c>
      <c r="C73" s="46"/>
      <c r="D73" s="46"/>
      <c r="E73" s="46"/>
      <c r="F73" s="1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46"/>
      <c r="BK73" s="46"/>
      <c r="BL73" s="46"/>
      <c r="BM73" s="46"/>
      <c r="BN73" s="46"/>
      <c r="BO73" s="46"/>
      <c r="BP73" s="46"/>
      <c r="BQ73" s="46"/>
      <c r="BR73" s="46">
        <v>1</v>
      </c>
      <c r="BS73" s="46">
        <v>1</v>
      </c>
      <c r="BT73" s="46"/>
      <c r="BU73" s="46"/>
      <c r="BV73" s="46">
        <v>0</v>
      </c>
      <c r="BW73" s="46"/>
      <c r="BX73" s="46"/>
      <c r="BY73" s="46">
        <v>1</v>
      </c>
      <c r="BZ73" s="46"/>
      <c r="CA73" s="46"/>
      <c r="CB73" s="46"/>
      <c r="CC73" s="46"/>
      <c r="CD73" s="46"/>
      <c r="CE73" s="46"/>
      <c r="CF73" s="46"/>
      <c r="CG73" s="46"/>
      <c r="CH73" s="46"/>
      <c r="CI73" s="46"/>
      <c r="CJ73" s="46"/>
      <c r="CK73" s="46"/>
      <c r="CL73" s="46"/>
      <c r="CM73" s="46"/>
      <c r="CN73" s="46"/>
      <c r="CO73" s="46"/>
      <c r="CP73" s="46"/>
      <c r="CQ73" s="46"/>
      <c r="CR73" s="46"/>
      <c r="CS73" s="46"/>
      <c r="CT73" s="46"/>
      <c r="CU73" s="46"/>
      <c r="CV73" s="46"/>
      <c r="CW73" s="46"/>
      <c r="CX73" s="46"/>
      <c r="CY73" s="46"/>
      <c r="CZ73" s="46"/>
      <c r="DA73" s="46"/>
      <c r="DB73" s="46"/>
      <c r="DC73" s="46"/>
      <c r="DD73" s="46"/>
      <c r="DE73" s="46">
        <v>1</v>
      </c>
      <c r="DF73" s="46"/>
      <c r="DG73" s="46"/>
      <c r="DH73" s="46"/>
      <c r="DI73" s="46"/>
      <c r="DJ73" s="46"/>
      <c r="DK73" s="46"/>
      <c r="DL73" s="46"/>
    </row>
    <row r="74" spans="1:116" x14ac:dyDescent="0.25">
      <c r="A74" s="81" t="s">
        <v>195</v>
      </c>
      <c r="B74" s="57">
        <f t="shared" si="2"/>
        <v>5</v>
      </c>
      <c r="C74" s="46"/>
      <c r="D74" s="46"/>
      <c r="E74" s="46"/>
      <c r="F74" s="14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6"/>
      <c r="BK74" s="46"/>
      <c r="BL74" s="46"/>
      <c r="BM74" s="46"/>
      <c r="BN74" s="46"/>
      <c r="BO74" s="46"/>
      <c r="BP74" s="46"/>
      <c r="BQ74" s="46"/>
      <c r="BR74" s="46"/>
      <c r="BS74" s="46"/>
      <c r="BT74" s="46"/>
      <c r="BU74" s="1"/>
      <c r="BV74" s="46">
        <v>1</v>
      </c>
      <c r="BW74" s="46">
        <v>0</v>
      </c>
      <c r="BX74" s="46"/>
      <c r="BY74" s="46">
        <v>1</v>
      </c>
      <c r="BZ74" s="46"/>
      <c r="CA74" s="46"/>
      <c r="CB74" s="46"/>
      <c r="CC74" s="46"/>
      <c r="CD74" s="46"/>
      <c r="CE74" s="1"/>
      <c r="CF74" s="1"/>
      <c r="CG74" s="1"/>
      <c r="CH74" s="46"/>
      <c r="CI74" s="46"/>
      <c r="CJ74" s="46"/>
      <c r="CK74" s="46"/>
      <c r="CL74" s="46"/>
      <c r="CM74" s="46"/>
      <c r="CN74" s="46"/>
      <c r="CO74" s="46"/>
      <c r="CP74" s="46"/>
      <c r="CQ74" s="46"/>
      <c r="CR74" s="46"/>
      <c r="CS74" s="46"/>
      <c r="CT74" s="46"/>
      <c r="CU74" s="46"/>
      <c r="CV74" s="46"/>
      <c r="CW74" s="46"/>
      <c r="CX74" s="46"/>
      <c r="CY74" s="46"/>
      <c r="CZ74" s="46"/>
      <c r="DA74" s="46">
        <v>1</v>
      </c>
      <c r="DB74" s="46"/>
      <c r="DC74" s="46">
        <v>1</v>
      </c>
      <c r="DD74" s="46">
        <v>1</v>
      </c>
      <c r="DE74" s="46"/>
      <c r="DF74" s="46"/>
      <c r="DG74" s="46"/>
      <c r="DH74" s="46"/>
      <c r="DI74" s="46"/>
      <c r="DJ74" s="46"/>
      <c r="DK74" s="46"/>
      <c r="DL74" s="46"/>
    </row>
    <row r="75" spans="1:116" x14ac:dyDescent="0.25">
      <c r="A75" s="81" t="s">
        <v>198</v>
      </c>
      <c r="B75" s="57">
        <f t="shared" si="2"/>
        <v>5</v>
      </c>
      <c r="C75" s="46"/>
      <c r="D75" s="46"/>
      <c r="E75" s="46"/>
      <c r="F75" s="14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46"/>
      <c r="BN75" s="46"/>
      <c r="BO75" s="46"/>
      <c r="BP75" s="46"/>
      <c r="BQ75" s="46"/>
      <c r="BR75" s="46">
        <v>1</v>
      </c>
      <c r="BS75" s="46"/>
      <c r="BT75" s="46">
        <v>1</v>
      </c>
      <c r="BU75" s="1"/>
      <c r="BV75" s="46">
        <v>1</v>
      </c>
      <c r="BW75" s="46"/>
      <c r="BX75" s="46">
        <v>0</v>
      </c>
      <c r="BY75" s="46">
        <v>1</v>
      </c>
      <c r="BZ75" s="46">
        <v>1</v>
      </c>
      <c r="CA75" s="46"/>
      <c r="CB75" s="46"/>
      <c r="CC75" s="46"/>
      <c r="CD75" s="46"/>
      <c r="CE75" s="46"/>
      <c r="CF75" s="46"/>
      <c r="CG75" s="46"/>
      <c r="CH75" s="46"/>
      <c r="CI75" s="46"/>
      <c r="CJ75" s="46"/>
      <c r="CK75" s="46"/>
      <c r="CL75" s="46"/>
      <c r="CM75" s="46"/>
      <c r="CN75" s="46"/>
      <c r="CO75" s="46"/>
      <c r="CP75" s="46"/>
      <c r="CQ75" s="46"/>
      <c r="CR75" s="46"/>
      <c r="CS75" s="46"/>
      <c r="CT75" s="46"/>
      <c r="CU75" s="46"/>
      <c r="CV75" s="46"/>
      <c r="CW75" s="46"/>
      <c r="CX75" s="46"/>
      <c r="CY75" s="46"/>
      <c r="CZ75" s="46"/>
      <c r="DA75" s="46"/>
      <c r="DB75" s="46"/>
      <c r="DC75" s="46"/>
      <c r="DD75" s="46"/>
      <c r="DE75" s="46"/>
      <c r="DF75" s="46"/>
      <c r="DG75" s="46"/>
      <c r="DH75" s="46"/>
      <c r="DI75" s="46"/>
      <c r="DJ75" s="46"/>
      <c r="DK75" s="46"/>
      <c r="DL75" s="46"/>
    </row>
    <row r="76" spans="1:116" x14ac:dyDescent="0.25">
      <c r="A76" s="81" t="s">
        <v>201</v>
      </c>
      <c r="B76" s="51">
        <f t="shared" si="2"/>
        <v>5</v>
      </c>
      <c r="C76" s="46"/>
      <c r="D76" s="46"/>
      <c r="E76" s="46"/>
      <c r="F76" s="14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46"/>
      <c r="BK76" s="46"/>
      <c r="BL76" s="46"/>
      <c r="BM76" s="46"/>
      <c r="BN76" s="46"/>
      <c r="BO76" s="46"/>
      <c r="BP76" s="46"/>
      <c r="BQ76" s="46"/>
      <c r="BR76" s="46">
        <v>1</v>
      </c>
      <c r="BS76" s="46">
        <v>1</v>
      </c>
      <c r="BT76" s="46"/>
      <c r="BU76" s="46"/>
      <c r="BV76" s="46">
        <v>1</v>
      </c>
      <c r="BW76" s="46">
        <v>1</v>
      </c>
      <c r="BX76" s="46">
        <v>1</v>
      </c>
      <c r="BY76" s="46">
        <v>0</v>
      </c>
      <c r="BZ76" s="46"/>
      <c r="CA76" s="46"/>
      <c r="CB76" s="46"/>
      <c r="CC76" s="46"/>
      <c r="CD76" s="46"/>
      <c r="CE76" s="46"/>
      <c r="CF76" s="46"/>
      <c r="CG76" s="46"/>
      <c r="CH76" s="46"/>
      <c r="CI76" s="46"/>
      <c r="CJ76" s="46"/>
      <c r="CK76" s="46"/>
      <c r="CL76" s="46"/>
      <c r="CM76" s="46"/>
      <c r="CN76" s="46"/>
      <c r="CO76" s="46"/>
      <c r="CP76" s="46"/>
      <c r="CQ76" s="46"/>
      <c r="CR76" s="46"/>
      <c r="CS76" s="46"/>
      <c r="CT76" s="46"/>
      <c r="CU76" s="46"/>
      <c r="CV76" s="46"/>
      <c r="CW76" s="46"/>
      <c r="CX76" s="46"/>
      <c r="CY76" s="46"/>
      <c r="CZ76" s="46"/>
      <c r="DA76" s="46"/>
      <c r="DB76" s="46"/>
      <c r="DC76" s="46"/>
      <c r="DD76" s="46"/>
      <c r="DE76" s="46"/>
      <c r="DF76" s="46"/>
      <c r="DG76" s="46"/>
      <c r="DH76" s="46"/>
      <c r="DI76" s="46"/>
      <c r="DJ76" s="46"/>
      <c r="DK76" s="46"/>
      <c r="DL76" s="46"/>
    </row>
    <row r="77" spans="1:116" x14ac:dyDescent="0.25">
      <c r="A77" s="81" t="s">
        <v>204</v>
      </c>
      <c r="B77" s="57">
        <f t="shared" si="2"/>
        <v>5</v>
      </c>
      <c r="C77" s="46"/>
      <c r="D77" s="46"/>
      <c r="E77" s="46"/>
      <c r="F77" s="14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>
        <v>1</v>
      </c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  <c r="BD77" s="46"/>
      <c r="BE77" s="46"/>
      <c r="BF77" s="46">
        <v>1</v>
      </c>
      <c r="BG77" s="46"/>
      <c r="BH77" s="46"/>
      <c r="BI77" s="46"/>
      <c r="BJ77" s="46"/>
      <c r="BK77" s="46"/>
      <c r="BL77" s="46"/>
      <c r="BM77" s="46"/>
      <c r="BN77" s="46"/>
      <c r="BO77" s="46"/>
      <c r="BP77" s="46"/>
      <c r="BQ77" s="46"/>
      <c r="BR77" s="46"/>
      <c r="BS77" s="46"/>
      <c r="BT77" s="46">
        <v>1</v>
      </c>
      <c r="BU77" s="46">
        <v>1</v>
      </c>
      <c r="BV77" s="46"/>
      <c r="BW77" s="46"/>
      <c r="BX77" s="46">
        <v>1</v>
      </c>
      <c r="BY77" s="46"/>
      <c r="BZ77" s="46">
        <v>0</v>
      </c>
      <c r="CA77" s="46"/>
      <c r="CB77" s="46"/>
      <c r="CC77" s="46"/>
      <c r="CD77" s="46"/>
      <c r="CE77" s="46"/>
      <c r="CF77" s="46"/>
      <c r="CG77" s="46"/>
      <c r="CH77" s="46"/>
      <c r="CI77" s="46"/>
      <c r="CJ77" s="46"/>
      <c r="CK77" s="46"/>
      <c r="CL77" s="46"/>
      <c r="CM77" s="46"/>
      <c r="CN77" s="46"/>
      <c r="CO77" s="46"/>
      <c r="CP77" s="46"/>
      <c r="CQ77" s="46"/>
      <c r="CR77" s="46"/>
      <c r="CS77" s="46"/>
      <c r="CT77" s="46"/>
      <c r="CU77" s="46"/>
      <c r="CV77" s="46"/>
      <c r="CW77" s="46"/>
      <c r="CX77" s="46"/>
      <c r="CY77" s="46"/>
      <c r="CZ77" s="46"/>
      <c r="DA77" s="46"/>
      <c r="DB77" s="46"/>
      <c r="DC77" s="46"/>
      <c r="DD77" s="46"/>
      <c r="DE77" s="46"/>
      <c r="DF77" s="46"/>
      <c r="DG77" s="46"/>
      <c r="DH77" s="46"/>
      <c r="DI77" s="46"/>
      <c r="DJ77" s="46"/>
      <c r="DK77" s="46"/>
      <c r="DL77" s="46"/>
    </row>
    <row r="78" spans="1:116" x14ac:dyDescent="0.25">
      <c r="A78" s="82" t="s">
        <v>207</v>
      </c>
      <c r="B78" s="57">
        <f t="shared" si="2"/>
        <v>7</v>
      </c>
      <c r="C78" s="46"/>
      <c r="D78" s="46"/>
      <c r="E78" s="46"/>
      <c r="F78" s="1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>
        <v>1</v>
      </c>
      <c r="AT78" s="46"/>
      <c r="AU78" s="46"/>
      <c r="AV78" s="46"/>
      <c r="AW78" s="46"/>
      <c r="AX78" s="46"/>
      <c r="AY78" s="46"/>
      <c r="AZ78" s="46"/>
      <c r="BA78" s="46"/>
      <c r="BB78" s="46">
        <v>1</v>
      </c>
      <c r="BC78" s="46"/>
      <c r="BD78" s="46"/>
      <c r="BE78" s="46"/>
      <c r="BF78" s="46"/>
      <c r="BG78" s="46"/>
      <c r="BH78" s="46"/>
      <c r="BI78" s="46"/>
      <c r="BJ78" s="46"/>
      <c r="BK78" s="46"/>
      <c r="BL78" s="46"/>
      <c r="BM78" s="46"/>
      <c r="BN78" s="46"/>
      <c r="BO78" s="46"/>
      <c r="BP78" s="46"/>
      <c r="BQ78" s="46"/>
      <c r="BR78" s="46"/>
      <c r="BS78" s="46"/>
      <c r="BT78" s="46"/>
      <c r="BU78" s="46"/>
      <c r="BV78" s="46"/>
      <c r="BW78" s="46"/>
      <c r="BX78" s="46"/>
      <c r="BY78" s="46"/>
      <c r="BZ78" s="46"/>
      <c r="CA78" s="59">
        <v>0</v>
      </c>
      <c r="CB78" s="46"/>
      <c r="CC78" s="46"/>
      <c r="CD78" s="46"/>
      <c r="CE78" s="46"/>
      <c r="CF78" s="46"/>
      <c r="CG78" s="46"/>
      <c r="CH78" s="46"/>
      <c r="CI78" s="46">
        <v>1</v>
      </c>
      <c r="CJ78" s="46">
        <v>1</v>
      </c>
      <c r="CK78" s="46">
        <v>1</v>
      </c>
      <c r="CL78" s="46">
        <v>1</v>
      </c>
      <c r="CM78" s="46"/>
      <c r="CN78" s="46"/>
      <c r="CO78" s="46"/>
      <c r="CP78" s="46"/>
      <c r="CQ78" s="46">
        <v>1</v>
      </c>
      <c r="CR78" s="46"/>
      <c r="CS78" s="46"/>
      <c r="CT78" s="46"/>
      <c r="CU78" s="46"/>
      <c r="CV78" s="46"/>
      <c r="CW78" s="46"/>
      <c r="CX78" s="46"/>
      <c r="CY78" s="46"/>
      <c r="CZ78" s="46"/>
      <c r="DA78" s="46"/>
      <c r="DB78" s="46"/>
      <c r="DC78" s="46"/>
      <c r="DD78" s="46"/>
      <c r="DE78" s="46"/>
      <c r="DF78" s="46"/>
      <c r="DG78" s="46"/>
      <c r="DH78" s="46"/>
      <c r="DI78" s="46"/>
      <c r="DJ78" s="46"/>
      <c r="DK78" s="46"/>
      <c r="DL78" s="46"/>
    </row>
    <row r="79" spans="1:116" x14ac:dyDescent="0.25">
      <c r="A79" s="82" t="s">
        <v>210</v>
      </c>
      <c r="B79" s="57">
        <f t="shared" si="2"/>
        <v>6</v>
      </c>
      <c r="C79" s="46"/>
      <c r="D79" s="46"/>
      <c r="E79" s="46"/>
      <c r="F79" s="1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46"/>
      <c r="BK79" s="46"/>
      <c r="BL79" s="46"/>
      <c r="BM79" s="46"/>
      <c r="BN79" s="46"/>
      <c r="BO79" s="46"/>
      <c r="BP79" s="46"/>
      <c r="BQ79" s="46"/>
      <c r="BR79" s="46"/>
      <c r="BS79" s="46"/>
      <c r="BT79" s="46"/>
      <c r="BU79" s="46"/>
      <c r="BV79" s="46"/>
      <c r="BW79" s="46"/>
      <c r="BX79" s="46"/>
      <c r="BY79" s="46"/>
      <c r="BZ79" s="46"/>
      <c r="CA79" s="46"/>
      <c r="CB79" s="46">
        <v>0</v>
      </c>
      <c r="CC79" s="46">
        <v>1</v>
      </c>
      <c r="CD79" s="46">
        <v>1</v>
      </c>
      <c r="CE79" s="46">
        <v>1</v>
      </c>
      <c r="CF79" s="46"/>
      <c r="CG79" s="46"/>
      <c r="CH79" s="46"/>
      <c r="CI79" s="46"/>
      <c r="CJ79" s="46"/>
      <c r="CK79" s="46"/>
      <c r="CL79" s="46">
        <v>1</v>
      </c>
      <c r="CM79" s="46">
        <v>1</v>
      </c>
      <c r="CN79" s="46">
        <v>1</v>
      </c>
      <c r="CO79" s="46"/>
      <c r="CP79" s="46"/>
      <c r="CQ79" s="46"/>
      <c r="CR79" s="46"/>
      <c r="CS79" s="46"/>
      <c r="CT79" s="46"/>
      <c r="CU79" s="46"/>
      <c r="CV79" s="46"/>
      <c r="CW79" s="46"/>
      <c r="CX79" s="46"/>
      <c r="CY79" s="46"/>
      <c r="CZ79" s="46"/>
      <c r="DA79" s="46"/>
      <c r="DB79" s="46"/>
      <c r="DC79" s="46"/>
      <c r="DD79" s="46"/>
      <c r="DE79" s="46"/>
      <c r="DF79" s="46"/>
      <c r="DG79" s="46"/>
      <c r="DH79" s="46"/>
      <c r="DI79" s="46"/>
      <c r="DJ79" s="46"/>
      <c r="DK79" s="46"/>
      <c r="DL79" s="46"/>
    </row>
    <row r="80" spans="1:116" x14ac:dyDescent="0.25">
      <c r="A80" s="82" t="s">
        <v>213</v>
      </c>
      <c r="B80" s="57">
        <f t="shared" si="2"/>
        <v>6</v>
      </c>
      <c r="C80" s="46"/>
      <c r="D80" s="46"/>
      <c r="E80" s="46"/>
      <c r="F80" s="1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6"/>
      <c r="BK80" s="46"/>
      <c r="BL80" s="46"/>
      <c r="BM80" s="46"/>
      <c r="BN80" s="46"/>
      <c r="BO80" s="46"/>
      <c r="BP80" s="46"/>
      <c r="BQ80" s="46"/>
      <c r="BR80" s="46"/>
      <c r="BS80" s="46"/>
      <c r="BT80" s="46"/>
      <c r="BU80" s="46"/>
      <c r="BV80" s="46"/>
      <c r="BW80" s="46"/>
      <c r="BX80" s="46"/>
      <c r="BY80" s="46"/>
      <c r="BZ80" s="46"/>
      <c r="CA80" s="46"/>
      <c r="CB80" s="46">
        <v>1</v>
      </c>
      <c r="CC80" s="46">
        <v>0</v>
      </c>
      <c r="CD80" s="46">
        <v>1</v>
      </c>
      <c r="CE80" s="46">
        <v>1</v>
      </c>
      <c r="CF80" s="46">
        <v>1</v>
      </c>
      <c r="CG80" s="46"/>
      <c r="CH80" s="46">
        <v>1</v>
      </c>
      <c r="CI80" s="46"/>
      <c r="CJ80" s="46"/>
      <c r="CK80" s="46"/>
      <c r="CL80" s="46"/>
      <c r="CM80" s="46"/>
      <c r="CN80" s="46"/>
      <c r="CO80" s="46"/>
      <c r="CP80" s="46"/>
      <c r="CQ80" s="46"/>
      <c r="CR80" s="46"/>
      <c r="CS80" s="46">
        <v>1</v>
      </c>
      <c r="CT80" s="46"/>
      <c r="CU80" s="46"/>
      <c r="CV80" s="46"/>
      <c r="CW80" s="46"/>
      <c r="CX80" s="46"/>
      <c r="CY80" s="46"/>
      <c r="CZ80" s="46"/>
      <c r="DA80" s="46"/>
      <c r="DB80" s="46"/>
      <c r="DC80" s="46"/>
      <c r="DD80" s="46"/>
      <c r="DE80" s="46"/>
      <c r="DF80" s="46"/>
      <c r="DG80" s="46"/>
      <c r="DH80" s="46"/>
      <c r="DI80" s="46"/>
      <c r="DJ80" s="46"/>
      <c r="DK80" s="46"/>
      <c r="DL80" s="46"/>
    </row>
    <row r="81" spans="1:116" x14ac:dyDescent="0.25">
      <c r="A81" s="82" t="s">
        <v>216</v>
      </c>
      <c r="B81" s="57">
        <f t="shared" si="2"/>
        <v>4</v>
      </c>
      <c r="C81" s="46"/>
      <c r="D81" s="46"/>
      <c r="E81" s="46"/>
      <c r="F81" s="1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46"/>
      <c r="BK81" s="46"/>
      <c r="BL81" s="46"/>
      <c r="BM81" s="46"/>
      <c r="BN81" s="46"/>
      <c r="BO81" s="46"/>
      <c r="BP81" s="46"/>
      <c r="BQ81" s="46"/>
      <c r="BR81" s="46"/>
      <c r="BS81" s="46"/>
      <c r="BT81" s="46"/>
      <c r="BU81" s="46"/>
      <c r="BV81" s="46"/>
      <c r="BW81" s="46"/>
      <c r="BX81" s="46"/>
      <c r="BY81" s="46"/>
      <c r="BZ81" s="46"/>
      <c r="CA81" s="46"/>
      <c r="CB81" s="46"/>
      <c r="CC81" s="46">
        <v>1</v>
      </c>
      <c r="CD81" s="46">
        <v>0</v>
      </c>
      <c r="CE81" s="46">
        <v>1</v>
      </c>
      <c r="CF81" s="46"/>
      <c r="CG81" s="46"/>
      <c r="CH81" s="46"/>
      <c r="CI81" s="46"/>
      <c r="CJ81" s="46"/>
      <c r="CK81" s="46"/>
      <c r="CL81" s="46"/>
      <c r="CM81" s="46">
        <v>1</v>
      </c>
      <c r="CN81" s="46"/>
      <c r="CO81" s="46"/>
      <c r="CP81" s="46"/>
      <c r="CQ81" s="46"/>
      <c r="CR81" s="46"/>
      <c r="CS81" s="46"/>
      <c r="CT81" s="46"/>
      <c r="CU81" s="46"/>
      <c r="CV81" s="46"/>
      <c r="CW81" s="46"/>
      <c r="CX81" s="46"/>
      <c r="CY81" s="46"/>
      <c r="CZ81" s="46">
        <v>1</v>
      </c>
      <c r="DA81" s="46"/>
      <c r="DB81" s="46"/>
      <c r="DC81" s="46"/>
      <c r="DD81" s="46"/>
      <c r="DE81" s="46"/>
      <c r="DF81" s="46"/>
      <c r="DG81" s="46"/>
      <c r="DH81" s="46"/>
      <c r="DI81" s="46"/>
      <c r="DJ81" s="46"/>
      <c r="DK81" s="46"/>
      <c r="DL81" s="46"/>
    </row>
    <row r="82" spans="1:116" x14ac:dyDescent="0.25">
      <c r="A82" s="82" t="s">
        <v>218</v>
      </c>
      <c r="B82" s="57">
        <f t="shared" si="2"/>
        <v>7</v>
      </c>
      <c r="C82" s="46"/>
      <c r="D82" s="46"/>
      <c r="E82" s="46"/>
      <c r="F82" s="1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46"/>
      <c r="BM82" s="46"/>
      <c r="BN82" s="46"/>
      <c r="BO82" s="46"/>
      <c r="BP82" s="46"/>
      <c r="BQ82" s="46"/>
      <c r="BR82" s="46"/>
      <c r="BS82" s="46"/>
      <c r="BT82" s="46"/>
      <c r="BU82" s="1"/>
      <c r="BV82" s="46"/>
      <c r="BW82" s="46"/>
      <c r="BX82" s="46"/>
      <c r="BY82" s="46"/>
      <c r="BZ82" s="46"/>
      <c r="CA82" s="46"/>
      <c r="CB82" s="46">
        <v>1</v>
      </c>
      <c r="CC82" s="1">
        <v>1</v>
      </c>
      <c r="CD82" s="46">
        <v>1</v>
      </c>
      <c r="CE82" s="46">
        <v>0</v>
      </c>
      <c r="CF82" s="46">
        <v>1</v>
      </c>
      <c r="CG82" s="46"/>
      <c r="CH82" s="46">
        <v>1</v>
      </c>
      <c r="CI82" s="46"/>
      <c r="CJ82" s="46"/>
      <c r="CK82" s="46"/>
      <c r="CL82" s="46"/>
      <c r="CM82" s="46"/>
      <c r="CN82" s="46">
        <v>1</v>
      </c>
      <c r="CO82" s="46"/>
      <c r="CP82" s="46"/>
      <c r="CQ82" s="46"/>
      <c r="CR82" s="46">
        <v>1</v>
      </c>
      <c r="CS82" s="46"/>
      <c r="CT82" s="46"/>
      <c r="CU82" s="46"/>
      <c r="CV82" s="46"/>
      <c r="CW82" s="46"/>
      <c r="CX82" s="46"/>
      <c r="CY82" s="46"/>
      <c r="CZ82" s="46"/>
      <c r="DA82" s="46"/>
      <c r="DB82" s="46"/>
      <c r="DC82" s="46"/>
      <c r="DD82" s="46"/>
      <c r="DE82" s="46"/>
      <c r="DF82" s="46"/>
      <c r="DG82" s="46"/>
      <c r="DH82" s="46"/>
      <c r="DI82" s="46"/>
      <c r="DJ82" s="46"/>
      <c r="DK82" s="46"/>
      <c r="DL82" s="46"/>
    </row>
    <row r="83" spans="1:116" x14ac:dyDescent="0.25">
      <c r="A83" s="82" t="s">
        <v>221</v>
      </c>
      <c r="B83" s="57">
        <f t="shared" si="2"/>
        <v>7</v>
      </c>
      <c r="C83" s="46"/>
      <c r="D83" s="46"/>
      <c r="E83" s="46"/>
      <c r="F83" s="1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46"/>
      <c r="BK83" s="46"/>
      <c r="BL83" s="46"/>
      <c r="BM83" s="46"/>
      <c r="BN83" s="46"/>
      <c r="BO83" s="46">
        <v>1</v>
      </c>
      <c r="BP83" s="46"/>
      <c r="BQ83" s="46"/>
      <c r="BR83" s="46"/>
      <c r="BS83" s="46"/>
      <c r="BT83" s="46"/>
      <c r="BU83" s="1"/>
      <c r="BV83" s="46"/>
      <c r="BW83" s="46"/>
      <c r="BX83" s="46"/>
      <c r="BY83" s="46"/>
      <c r="BZ83" s="46"/>
      <c r="CA83" s="46"/>
      <c r="CB83" s="46"/>
      <c r="CC83" s="1">
        <v>1</v>
      </c>
      <c r="CD83" s="46"/>
      <c r="CE83" s="46">
        <v>1</v>
      </c>
      <c r="CF83" s="46">
        <v>0</v>
      </c>
      <c r="CG83" s="46"/>
      <c r="CH83" s="46">
        <v>1</v>
      </c>
      <c r="CI83" s="46"/>
      <c r="CJ83" s="46"/>
      <c r="CK83" s="46"/>
      <c r="CL83" s="46"/>
      <c r="CM83" s="46"/>
      <c r="CN83" s="46">
        <v>1</v>
      </c>
      <c r="CO83" s="46"/>
      <c r="CP83" s="46"/>
      <c r="CQ83" s="46"/>
      <c r="CR83" s="46">
        <v>1</v>
      </c>
      <c r="CS83" s="46">
        <v>1</v>
      </c>
      <c r="CT83" s="46"/>
      <c r="CU83" s="46"/>
      <c r="CV83" s="46"/>
      <c r="CW83" s="46"/>
      <c r="CX83" s="46"/>
      <c r="CY83" s="46"/>
      <c r="CZ83" s="46"/>
      <c r="DA83" s="46"/>
      <c r="DB83" s="46"/>
      <c r="DC83" s="46"/>
      <c r="DD83" s="46"/>
      <c r="DE83" s="46"/>
      <c r="DF83" s="46"/>
      <c r="DG83" s="46"/>
      <c r="DH83" s="46"/>
      <c r="DI83" s="46"/>
      <c r="DJ83" s="46"/>
      <c r="DK83" s="46"/>
      <c r="DL83" s="46"/>
    </row>
    <row r="84" spans="1:116" x14ac:dyDescent="0.25">
      <c r="A84" s="82" t="s">
        <v>223</v>
      </c>
      <c r="B84" s="57">
        <f t="shared" si="2"/>
        <v>6</v>
      </c>
      <c r="C84" s="46"/>
      <c r="D84" s="46"/>
      <c r="E84" s="46"/>
      <c r="F84" s="1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46"/>
      <c r="BK84" s="46"/>
      <c r="BL84" s="46"/>
      <c r="BM84" s="46"/>
      <c r="BN84" s="46"/>
      <c r="BO84" s="46"/>
      <c r="BP84" s="46"/>
      <c r="BQ84" s="46"/>
      <c r="BR84" s="46"/>
      <c r="BS84" s="46"/>
      <c r="BT84" s="46"/>
      <c r="BU84" s="1"/>
      <c r="BV84" s="46"/>
      <c r="BW84" s="46"/>
      <c r="BX84" s="46"/>
      <c r="BY84" s="46"/>
      <c r="BZ84" s="46"/>
      <c r="CA84" s="46"/>
      <c r="CB84" s="46"/>
      <c r="CC84" s="46"/>
      <c r="CD84" s="46"/>
      <c r="CE84" s="46"/>
      <c r="CF84" s="46"/>
      <c r="CG84" s="46">
        <v>0</v>
      </c>
      <c r="CH84" s="46"/>
      <c r="CI84" s="46">
        <v>1</v>
      </c>
      <c r="CJ84" s="46"/>
      <c r="CK84" s="46">
        <v>1</v>
      </c>
      <c r="CL84" s="46"/>
      <c r="CM84" s="46"/>
      <c r="CN84" s="46">
        <v>1</v>
      </c>
      <c r="CO84" s="46">
        <v>1</v>
      </c>
      <c r="CP84" s="46">
        <v>1</v>
      </c>
      <c r="CQ84" s="46">
        <v>1</v>
      </c>
      <c r="CR84" s="46"/>
      <c r="CS84" s="46"/>
      <c r="CT84" s="46"/>
      <c r="CU84" s="46"/>
      <c r="CV84" s="46"/>
      <c r="CW84" s="46"/>
      <c r="CX84" s="46"/>
      <c r="CY84" s="46"/>
      <c r="CZ84" s="46"/>
      <c r="DA84" s="46"/>
      <c r="DB84" s="46"/>
      <c r="DC84" s="46"/>
      <c r="DD84" s="46"/>
      <c r="DE84" s="46"/>
      <c r="DF84" s="46"/>
      <c r="DG84" s="46"/>
      <c r="DH84" s="46"/>
      <c r="DI84" s="46"/>
      <c r="DJ84" s="46"/>
      <c r="DK84" s="46"/>
      <c r="DL84" s="46"/>
    </row>
    <row r="85" spans="1:116" x14ac:dyDescent="0.25">
      <c r="A85" s="82" t="s">
        <v>226</v>
      </c>
      <c r="B85" s="57">
        <f t="shared" si="2"/>
        <v>5</v>
      </c>
      <c r="C85" s="46"/>
      <c r="D85" s="46"/>
      <c r="E85" s="46"/>
      <c r="F85" s="1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6"/>
      <c r="BE85" s="46"/>
      <c r="BF85" s="46"/>
      <c r="BG85" s="46"/>
      <c r="BH85" s="46"/>
      <c r="BI85" s="46"/>
      <c r="BJ85" s="46"/>
      <c r="BK85" s="46"/>
      <c r="BL85" s="46"/>
      <c r="BM85" s="46"/>
      <c r="BN85" s="46"/>
      <c r="BO85" s="46"/>
      <c r="BP85" s="46"/>
      <c r="BQ85" s="46"/>
      <c r="BR85" s="46"/>
      <c r="BS85" s="46"/>
      <c r="BT85" s="46"/>
      <c r="BU85" s="46"/>
      <c r="BV85" s="46"/>
      <c r="BW85" s="46"/>
      <c r="BX85" s="46"/>
      <c r="BY85" s="46"/>
      <c r="BZ85" s="46"/>
      <c r="CA85" s="46"/>
      <c r="CB85" s="46"/>
      <c r="CC85" s="46">
        <v>1</v>
      </c>
      <c r="CD85" s="46"/>
      <c r="CE85" s="46">
        <v>1</v>
      </c>
      <c r="CF85" s="46">
        <v>1</v>
      </c>
      <c r="CG85" s="46"/>
      <c r="CH85" s="46">
        <v>0</v>
      </c>
      <c r="CI85" s="46"/>
      <c r="CJ85" s="46"/>
      <c r="CK85" s="46"/>
      <c r="CL85" s="46"/>
      <c r="CM85" s="46"/>
      <c r="CN85" s="46"/>
      <c r="CO85" s="46"/>
      <c r="CP85" s="46"/>
      <c r="CQ85" s="46"/>
      <c r="CR85" s="46">
        <v>1</v>
      </c>
      <c r="CS85" s="46">
        <v>1</v>
      </c>
      <c r="CT85" s="46"/>
      <c r="CU85" s="46"/>
      <c r="CV85" s="46"/>
      <c r="CW85" s="46"/>
      <c r="CX85" s="46"/>
      <c r="CY85" s="46"/>
      <c r="CZ85" s="46"/>
      <c r="DA85" s="46"/>
      <c r="DB85" s="46"/>
      <c r="DC85" s="46"/>
      <c r="DD85" s="46"/>
      <c r="DE85" s="46"/>
      <c r="DF85" s="46"/>
      <c r="DG85" s="46"/>
      <c r="DH85" s="46"/>
      <c r="DI85" s="46"/>
      <c r="DJ85" s="46"/>
      <c r="DK85" s="46"/>
      <c r="DL85" s="46"/>
    </row>
    <row r="86" spans="1:116" x14ac:dyDescent="0.25">
      <c r="A86" s="82" t="s">
        <v>229</v>
      </c>
      <c r="B86" s="57">
        <f t="shared" si="2"/>
        <v>5</v>
      </c>
      <c r="C86" s="46"/>
      <c r="D86" s="46"/>
      <c r="E86" s="46"/>
      <c r="F86" s="1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>
        <v>1</v>
      </c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46"/>
      <c r="BK86" s="46"/>
      <c r="BL86" s="46"/>
      <c r="BM86" s="46"/>
      <c r="BN86" s="46"/>
      <c r="BO86" s="46"/>
      <c r="BP86" s="46"/>
      <c r="BQ86" s="46">
        <v>1</v>
      </c>
      <c r="BR86" s="46"/>
      <c r="BS86" s="46"/>
      <c r="BT86" s="46"/>
      <c r="BU86" s="46"/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>
        <v>1</v>
      </c>
      <c r="CH86" s="46"/>
      <c r="CI86" s="46">
        <v>0</v>
      </c>
      <c r="CJ86" s="46"/>
      <c r="CK86" s="46">
        <v>1</v>
      </c>
      <c r="CL86" s="46"/>
      <c r="CM86" s="46"/>
      <c r="CN86" s="46"/>
      <c r="CO86" s="46"/>
      <c r="CP86" s="46">
        <v>1</v>
      </c>
      <c r="CQ86" s="46"/>
      <c r="CR86" s="46"/>
      <c r="CS86" s="46"/>
      <c r="CT86" s="46"/>
      <c r="CU86" s="46"/>
      <c r="CV86" s="46"/>
      <c r="CW86" s="46"/>
      <c r="CX86" s="46"/>
      <c r="CY86" s="46"/>
      <c r="CZ86" s="46"/>
      <c r="DA86" s="46"/>
      <c r="DB86" s="46"/>
      <c r="DC86" s="46"/>
      <c r="DD86" s="46"/>
      <c r="DE86" s="46"/>
      <c r="DF86" s="46"/>
      <c r="DG86" s="46"/>
      <c r="DH86" s="46"/>
      <c r="DI86" s="46"/>
      <c r="DJ86" s="46"/>
      <c r="DK86" s="46"/>
      <c r="DL86" s="46"/>
    </row>
    <row r="87" spans="1:116" x14ac:dyDescent="0.25">
      <c r="A87" s="83" t="s">
        <v>311</v>
      </c>
      <c r="B87" s="57">
        <f>SUM(C87:DL87)</f>
        <v>3</v>
      </c>
      <c r="C87" s="46"/>
      <c r="D87" s="46"/>
      <c r="E87" s="46"/>
      <c r="F87" s="1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46"/>
      <c r="BK87" s="46"/>
      <c r="BL87" s="46"/>
      <c r="BM87" s="46"/>
      <c r="BN87" s="46"/>
      <c r="BO87" s="46"/>
      <c r="BP87" s="46"/>
      <c r="BQ87" s="46"/>
      <c r="BR87" s="46"/>
      <c r="BS87" s="46"/>
      <c r="BT87" s="46"/>
      <c r="BU87" s="46"/>
      <c r="BV87" s="46"/>
      <c r="BW87" s="46"/>
      <c r="BX87" s="46"/>
      <c r="BY87" s="46"/>
      <c r="BZ87" s="46"/>
      <c r="CA87" s="46">
        <v>1</v>
      </c>
      <c r="CB87" s="46"/>
      <c r="CC87" s="46"/>
      <c r="CD87" s="46"/>
      <c r="CE87" s="46"/>
      <c r="CF87" s="46"/>
      <c r="CG87" s="46"/>
      <c r="CH87" s="46"/>
      <c r="CI87" s="46"/>
      <c r="CJ87" s="46">
        <v>0</v>
      </c>
      <c r="CK87" s="46"/>
      <c r="CL87" s="46">
        <v>1</v>
      </c>
      <c r="CM87" s="46"/>
      <c r="CN87" s="46"/>
      <c r="CO87" s="46"/>
      <c r="CP87" s="46"/>
      <c r="CQ87" s="46">
        <v>1</v>
      </c>
      <c r="CR87" s="46"/>
      <c r="CS87" s="46"/>
      <c r="CT87" s="46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  <c r="DG87" s="46"/>
      <c r="DH87" s="46"/>
      <c r="DI87" s="46"/>
      <c r="DJ87" s="46"/>
      <c r="DK87" s="46"/>
      <c r="DL87" s="46"/>
    </row>
    <row r="88" spans="1:116" x14ac:dyDescent="0.25">
      <c r="A88" s="82" t="s">
        <v>232</v>
      </c>
      <c r="B88" s="51">
        <f t="shared" si="2"/>
        <v>5</v>
      </c>
      <c r="C88" s="46"/>
      <c r="D88" s="46"/>
      <c r="E88" s="46"/>
      <c r="F88" s="1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46"/>
      <c r="BJ88" s="46"/>
      <c r="BK88" s="46"/>
      <c r="BL88" s="46"/>
      <c r="BM88" s="46"/>
      <c r="BN88" s="46"/>
      <c r="BO88" s="46"/>
      <c r="BP88" s="46"/>
      <c r="BQ88" s="46"/>
      <c r="BR88" s="46"/>
      <c r="BS88" s="46"/>
      <c r="BT88" s="46"/>
      <c r="BU88" s="46"/>
      <c r="BV88" s="46"/>
      <c r="BW88" s="46"/>
      <c r="BX88" s="46"/>
      <c r="BY88" s="46"/>
      <c r="BZ88" s="46"/>
      <c r="CA88" s="46">
        <v>1</v>
      </c>
      <c r="CB88" s="46"/>
      <c r="CC88" s="46"/>
      <c r="CD88" s="46"/>
      <c r="CE88" s="46"/>
      <c r="CF88" s="46"/>
      <c r="CG88" s="46">
        <v>1</v>
      </c>
      <c r="CH88" s="46"/>
      <c r="CI88" s="46">
        <v>1</v>
      </c>
      <c r="CJ88" s="46"/>
      <c r="CK88" s="46">
        <v>0</v>
      </c>
      <c r="CL88" s="46">
        <v>1</v>
      </c>
      <c r="CM88" s="46"/>
      <c r="CN88" s="46">
        <v>1</v>
      </c>
      <c r="CO88" s="46"/>
      <c r="CP88" s="46"/>
      <c r="CQ88" s="46"/>
      <c r="CR88" s="46"/>
      <c r="CS88" s="46"/>
      <c r="CT88" s="46"/>
      <c r="CU88" s="46"/>
      <c r="CV88" s="46"/>
      <c r="CW88" s="46"/>
      <c r="CX88" s="46"/>
      <c r="CY88" s="46"/>
      <c r="CZ88" s="46"/>
      <c r="DA88" s="46"/>
      <c r="DB88" s="46"/>
      <c r="DC88" s="46"/>
      <c r="DD88" s="46"/>
      <c r="DE88" s="46"/>
      <c r="DF88" s="46"/>
      <c r="DG88" s="46"/>
      <c r="DH88" s="46"/>
      <c r="DI88" s="46"/>
      <c r="DJ88" s="46"/>
      <c r="DK88" s="46"/>
      <c r="DL88" s="46"/>
    </row>
    <row r="89" spans="1:116" x14ac:dyDescent="0.25">
      <c r="A89" s="82" t="s">
        <v>234</v>
      </c>
      <c r="B89" s="51">
        <f t="shared" si="2"/>
        <v>5</v>
      </c>
      <c r="C89" s="46"/>
      <c r="D89" s="46"/>
      <c r="E89" s="46"/>
      <c r="F89" s="1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46"/>
      <c r="BJ89" s="46"/>
      <c r="BK89" s="46"/>
      <c r="BL89" s="46"/>
      <c r="BM89" s="46"/>
      <c r="BN89" s="46"/>
      <c r="BO89" s="46"/>
      <c r="BP89" s="46"/>
      <c r="BQ89" s="46"/>
      <c r="BR89" s="46"/>
      <c r="BS89" s="46"/>
      <c r="BT89" s="46"/>
      <c r="BU89" s="46"/>
      <c r="BV89" s="46"/>
      <c r="BW89" s="46"/>
      <c r="BX89" s="46"/>
      <c r="BY89" s="46"/>
      <c r="BZ89" s="46"/>
      <c r="CA89" s="46">
        <v>1</v>
      </c>
      <c r="CB89" s="46">
        <v>1</v>
      </c>
      <c r="CC89" s="46"/>
      <c r="CD89" s="46"/>
      <c r="CE89" s="46"/>
      <c r="CF89" s="46"/>
      <c r="CG89" s="46"/>
      <c r="CH89" s="46"/>
      <c r="CI89" s="46"/>
      <c r="CJ89" s="46">
        <v>1</v>
      </c>
      <c r="CK89" s="46">
        <v>1</v>
      </c>
      <c r="CL89" s="46">
        <v>0</v>
      </c>
      <c r="CM89" s="46">
        <v>1</v>
      </c>
      <c r="CN89" s="46"/>
      <c r="CO89" s="46"/>
      <c r="CP89" s="46"/>
      <c r="CQ89" s="46"/>
      <c r="CR89" s="46"/>
      <c r="CS89" s="46"/>
      <c r="CT89" s="46"/>
      <c r="CU89" s="46"/>
      <c r="CV89" s="46"/>
      <c r="CW89" s="46"/>
      <c r="CX89" s="46"/>
      <c r="CY89" s="46"/>
      <c r="CZ89" s="46"/>
      <c r="DA89" s="46"/>
      <c r="DB89" s="46"/>
      <c r="DC89" s="46"/>
      <c r="DD89" s="46"/>
      <c r="DE89" s="46"/>
      <c r="DF89" s="46"/>
      <c r="DG89" s="46"/>
      <c r="DH89" s="46"/>
      <c r="DI89" s="46"/>
      <c r="DJ89" s="46"/>
      <c r="DK89" s="46"/>
      <c r="DL89" s="46"/>
    </row>
    <row r="90" spans="1:116" x14ac:dyDescent="0.25">
      <c r="A90" s="82" t="s">
        <v>237</v>
      </c>
      <c r="B90" s="57">
        <f t="shared" si="2"/>
        <v>3</v>
      </c>
      <c r="C90" s="46"/>
      <c r="D90" s="46"/>
      <c r="E90" s="46"/>
      <c r="F90" s="1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>
        <v>1</v>
      </c>
      <c r="CC90" s="46"/>
      <c r="CD90" s="46">
        <v>1</v>
      </c>
      <c r="CE90" s="46"/>
      <c r="CF90" s="46"/>
      <c r="CG90" s="46"/>
      <c r="CH90" s="46"/>
      <c r="CI90" s="46"/>
      <c r="CJ90" s="46"/>
      <c r="CK90" s="46"/>
      <c r="CL90" s="46">
        <v>1</v>
      </c>
      <c r="CM90" s="46">
        <v>0</v>
      </c>
      <c r="CN90" s="46"/>
      <c r="CO90" s="46"/>
      <c r="CP90" s="46"/>
      <c r="CQ90" s="46"/>
      <c r="CR90" s="46"/>
      <c r="CS90" s="46"/>
      <c r="CT90" s="46"/>
      <c r="CU90" s="46"/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  <c r="DG90" s="46"/>
      <c r="DH90" s="46"/>
      <c r="DI90" s="46"/>
      <c r="DJ90" s="46"/>
      <c r="DK90" s="46"/>
      <c r="DL90" s="46"/>
    </row>
    <row r="91" spans="1:116" x14ac:dyDescent="0.25">
      <c r="A91" s="82" t="s">
        <v>240</v>
      </c>
      <c r="B91" s="57">
        <f t="shared" si="2"/>
        <v>9</v>
      </c>
      <c r="C91" s="46"/>
      <c r="D91" s="46"/>
      <c r="E91" s="46"/>
      <c r="F91" s="1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>
        <v>1</v>
      </c>
      <c r="BP91" s="46"/>
      <c r="BQ91" s="46">
        <v>1</v>
      </c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>
        <v>1</v>
      </c>
      <c r="CF91" s="46">
        <v>1</v>
      </c>
      <c r="CG91" s="46">
        <v>1</v>
      </c>
      <c r="CH91" s="46"/>
      <c r="CI91" s="46"/>
      <c r="CJ91" s="46"/>
      <c r="CK91" s="46">
        <v>1</v>
      </c>
      <c r="CL91" s="1"/>
      <c r="CM91" s="46"/>
      <c r="CN91" s="46">
        <v>0</v>
      </c>
      <c r="CO91" s="46">
        <v>1</v>
      </c>
      <c r="CP91" s="46"/>
      <c r="CQ91" s="46">
        <v>1</v>
      </c>
      <c r="CR91" s="46"/>
      <c r="CS91" s="46">
        <v>1</v>
      </c>
      <c r="CT91" s="46"/>
      <c r="CU91" s="46"/>
      <c r="CV91" s="46"/>
      <c r="CW91" s="1"/>
      <c r="CX91" s="1"/>
      <c r="CY91" s="1"/>
      <c r="CZ91" s="46"/>
      <c r="DA91" s="46"/>
      <c r="DB91" s="46"/>
      <c r="DC91" s="46"/>
      <c r="DD91" s="46"/>
      <c r="DE91" s="46"/>
      <c r="DF91" s="46"/>
      <c r="DG91" s="46"/>
      <c r="DH91" s="46"/>
      <c r="DI91" s="46"/>
      <c r="DJ91" s="46"/>
      <c r="DK91" s="46"/>
      <c r="DL91" s="46"/>
    </row>
    <row r="92" spans="1:116" x14ac:dyDescent="0.25">
      <c r="A92" s="82" t="s">
        <v>243</v>
      </c>
      <c r="B92" s="57">
        <f t="shared" si="2"/>
        <v>8</v>
      </c>
      <c r="C92" s="46"/>
      <c r="D92" s="46"/>
      <c r="E92" s="46"/>
      <c r="F92" s="1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>
        <v>1</v>
      </c>
      <c r="BJ92" s="46"/>
      <c r="BK92" s="46"/>
      <c r="BL92" s="46"/>
      <c r="BM92" s="46"/>
      <c r="BN92" s="46"/>
      <c r="BO92" s="46">
        <v>1</v>
      </c>
      <c r="BP92" s="46"/>
      <c r="BQ92" s="46">
        <v>1</v>
      </c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>
        <v>1</v>
      </c>
      <c r="CH92" s="46"/>
      <c r="CI92" s="46">
        <v>1</v>
      </c>
      <c r="CJ92" s="46"/>
      <c r="CK92" s="46"/>
      <c r="CL92" s="1"/>
      <c r="CM92" s="46"/>
      <c r="CN92" s="46">
        <v>1</v>
      </c>
      <c r="CO92" s="46">
        <v>0</v>
      </c>
      <c r="CP92" s="46">
        <v>1</v>
      </c>
      <c r="CQ92" s="46">
        <v>1</v>
      </c>
      <c r="CR92" s="46"/>
      <c r="CS92" s="46"/>
      <c r="CT92" s="46"/>
      <c r="CU92" s="46"/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  <c r="DG92" s="46"/>
      <c r="DH92" s="46"/>
      <c r="DI92" s="46"/>
      <c r="DJ92" s="46"/>
      <c r="DK92" s="46"/>
      <c r="DL92" s="46"/>
    </row>
    <row r="93" spans="1:116" x14ac:dyDescent="0.25">
      <c r="A93" s="82" t="s">
        <v>246</v>
      </c>
      <c r="B93" s="51">
        <f t="shared" si="2"/>
        <v>10</v>
      </c>
      <c r="C93" s="46"/>
      <c r="D93" s="46"/>
      <c r="E93" s="46"/>
      <c r="F93" s="47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>
        <v>1</v>
      </c>
      <c r="AT93" s="46"/>
      <c r="AU93" s="46"/>
      <c r="AV93" s="46"/>
      <c r="AW93" s="46">
        <v>1</v>
      </c>
      <c r="AX93" s="46"/>
      <c r="AY93" s="46"/>
      <c r="AZ93" s="46"/>
      <c r="BA93" s="46"/>
      <c r="BB93" s="46"/>
      <c r="BC93" s="46"/>
      <c r="BD93" s="46"/>
      <c r="BE93" s="46"/>
      <c r="BF93" s="46"/>
      <c r="BG93" s="46">
        <v>1</v>
      </c>
      <c r="BH93" s="46"/>
      <c r="BI93" s="46"/>
      <c r="BJ93" s="46"/>
      <c r="BK93" s="46"/>
      <c r="BL93" s="46"/>
      <c r="BM93" s="46">
        <v>1</v>
      </c>
      <c r="BN93" s="46">
        <v>1</v>
      </c>
      <c r="BO93" s="46">
        <v>1</v>
      </c>
      <c r="BP93" s="46">
        <v>1</v>
      </c>
      <c r="BQ93" s="46">
        <v>1</v>
      </c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>
        <v>1</v>
      </c>
      <c r="CJ93" s="46"/>
      <c r="CK93" s="46"/>
      <c r="CL93" s="46"/>
      <c r="CM93" s="46"/>
      <c r="CN93" s="46"/>
      <c r="CO93" s="46">
        <v>1</v>
      </c>
      <c r="CP93" s="46">
        <v>0</v>
      </c>
      <c r="CQ93" s="46"/>
      <c r="CR93" s="46"/>
      <c r="CS93" s="46"/>
      <c r="CT93" s="46"/>
      <c r="CU93" s="46"/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  <c r="DG93" s="46"/>
      <c r="DH93" s="46"/>
      <c r="DI93" s="46"/>
      <c r="DJ93" s="46"/>
      <c r="DK93" s="46"/>
      <c r="DL93" s="46"/>
    </row>
    <row r="94" spans="1:116" x14ac:dyDescent="0.25">
      <c r="A94" s="82" t="s">
        <v>310</v>
      </c>
      <c r="B94" s="51">
        <f>SUM(C94:DL94)</f>
        <v>4</v>
      </c>
      <c r="C94" s="46"/>
      <c r="D94" s="46"/>
      <c r="E94" s="46"/>
      <c r="F94" s="2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>
        <v>1</v>
      </c>
      <c r="CH94" s="46"/>
      <c r="CI94" s="46">
        <v>1</v>
      </c>
      <c r="CJ94" s="46">
        <v>1</v>
      </c>
      <c r="CK94" s="46"/>
      <c r="CL94" s="46"/>
      <c r="CM94" s="46"/>
      <c r="CN94" s="46">
        <v>1</v>
      </c>
      <c r="CO94" s="46"/>
      <c r="CP94" s="46"/>
      <c r="CQ94" s="46"/>
      <c r="CR94" s="46"/>
      <c r="CS94" s="46"/>
      <c r="CT94" s="46"/>
      <c r="CU94" s="46"/>
      <c r="CV94" s="46"/>
      <c r="CW94" s="46"/>
      <c r="CX94" s="46"/>
      <c r="CY94" s="46"/>
      <c r="CZ94" s="46"/>
      <c r="DA94" s="46"/>
      <c r="DB94" s="46"/>
      <c r="DC94" s="46"/>
      <c r="DD94" s="46"/>
      <c r="DE94" s="46"/>
      <c r="DF94" s="46"/>
      <c r="DG94" s="46"/>
      <c r="DH94" s="46"/>
      <c r="DI94" s="46"/>
      <c r="DJ94" s="46"/>
      <c r="DK94" s="46"/>
      <c r="DL94" s="46"/>
    </row>
    <row r="95" spans="1:116" x14ac:dyDescent="0.25">
      <c r="A95" s="84" t="s">
        <v>249</v>
      </c>
      <c r="B95" s="51">
        <f t="shared" si="2"/>
        <v>5</v>
      </c>
      <c r="C95" s="46"/>
      <c r="D95" s="46"/>
      <c r="E95" s="46"/>
      <c r="F95" s="1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>
        <v>1</v>
      </c>
      <c r="CG95" s="46"/>
      <c r="CH95" s="46">
        <v>1</v>
      </c>
      <c r="CI95" s="46"/>
      <c r="CJ95" s="46"/>
      <c r="CK95" s="46"/>
      <c r="CL95" s="46"/>
      <c r="CM95" s="46"/>
      <c r="CN95" s="46"/>
      <c r="CO95" s="46"/>
      <c r="CP95" s="46"/>
      <c r="CQ95" s="46"/>
      <c r="CR95" s="46">
        <v>0</v>
      </c>
      <c r="CS95" s="46">
        <v>1</v>
      </c>
      <c r="CT95" s="46">
        <v>1</v>
      </c>
      <c r="CU95" s="46">
        <v>1</v>
      </c>
      <c r="CV95" s="46"/>
      <c r="CW95" s="46"/>
      <c r="CX95" s="46"/>
      <c r="CY95" s="46"/>
      <c r="CZ95" s="46"/>
      <c r="DA95" s="46"/>
      <c r="DB95" s="46"/>
      <c r="DC95" s="46"/>
      <c r="DD95" s="46"/>
      <c r="DE95" s="46"/>
      <c r="DF95" s="46"/>
      <c r="DG95" s="46"/>
      <c r="DH95" s="46"/>
      <c r="DI95" s="46"/>
      <c r="DJ95" s="46"/>
      <c r="DK95" s="46"/>
      <c r="DL95" s="46"/>
    </row>
    <row r="96" spans="1:116" x14ac:dyDescent="0.25">
      <c r="A96" s="84" t="s">
        <v>251</v>
      </c>
      <c r="B96" s="51">
        <f t="shared" si="2"/>
        <v>9</v>
      </c>
      <c r="C96" s="46"/>
      <c r="D96" s="46"/>
      <c r="E96" s="46"/>
      <c r="F96" s="1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>
        <v>1</v>
      </c>
      <c r="BJ96" s="46"/>
      <c r="BK96" s="46"/>
      <c r="BL96" s="46"/>
      <c r="BM96" s="46"/>
      <c r="BN96" s="46"/>
      <c r="BO96" s="46">
        <v>1</v>
      </c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>
        <v>1</v>
      </c>
      <c r="CD96" s="46"/>
      <c r="CE96" s="46"/>
      <c r="CF96" s="46">
        <v>1</v>
      </c>
      <c r="CG96" s="46"/>
      <c r="CH96" s="46">
        <v>1</v>
      </c>
      <c r="CI96" s="46"/>
      <c r="CJ96" s="46"/>
      <c r="CK96" s="46"/>
      <c r="CL96" s="46"/>
      <c r="CM96" s="46"/>
      <c r="CN96" s="46">
        <v>1</v>
      </c>
      <c r="CO96" s="46"/>
      <c r="CP96" s="46"/>
      <c r="CQ96" s="46"/>
      <c r="CR96" s="46">
        <v>1</v>
      </c>
      <c r="CS96" s="46">
        <v>0</v>
      </c>
      <c r="CT96" s="46">
        <v>1</v>
      </c>
      <c r="CU96" s="46">
        <v>1</v>
      </c>
      <c r="CV96" s="46"/>
      <c r="CW96" s="46"/>
      <c r="CX96" s="46"/>
      <c r="CY96" s="46"/>
      <c r="CZ96" s="46"/>
      <c r="DA96" s="46"/>
      <c r="DB96" s="46"/>
      <c r="DC96" s="46"/>
      <c r="DD96" s="46"/>
      <c r="DE96" s="46"/>
      <c r="DF96" s="46"/>
      <c r="DG96" s="46"/>
      <c r="DH96" s="46"/>
      <c r="DI96" s="46"/>
      <c r="DJ96" s="46"/>
      <c r="DK96" s="46"/>
      <c r="DL96" s="46"/>
    </row>
    <row r="97" spans="1:116" x14ac:dyDescent="0.25">
      <c r="A97" s="84" t="s">
        <v>254</v>
      </c>
      <c r="B97" s="51">
        <f t="shared" si="2"/>
        <v>9</v>
      </c>
      <c r="C97" s="46"/>
      <c r="D97" s="46"/>
      <c r="E97" s="46"/>
      <c r="F97" s="1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>
        <v>1</v>
      </c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>
        <v>1</v>
      </c>
      <c r="CF97" s="46">
        <v>1</v>
      </c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>
        <v>1</v>
      </c>
      <c r="CS97" s="46"/>
      <c r="CT97" s="46">
        <v>0</v>
      </c>
      <c r="CU97" s="46">
        <v>1</v>
      </c>
      <c r="CV97" s="46"/>
      <c r="CW97" s="46"/>
      <c r="CX97" s="46">
        <v>1</v>
      </c>
      <c r="CY97" s="46">
        <v>1</v>
      </c>
      <c r="CZ97" s="46"/>
      <c r="DA97" s="46"/>
      <c r="DB97" s="46"/>
      <c r="DC97" s="46"/>
      <c r="DD97" s="46">
        <v>1</v>
      </c>
      <c r="DE97" s="46">
        <v>1</v>
      </c>
      <c r="DF97" s="46"/>
      <c r="DG97" s="46"/>
      <c r="DH97" s="46"/>
      <c r="DI97" s="46"/>
      <c r="DJ97" s="46"/>
      <c r="DK97" s="46"/>
      <c r="DL97" s="46"/>
    </row>
    <row r="98" spans="1:116" x14ac:dyDescent="0.25">
      <c r="A98" s="84" t="s">
        <v>257</v>
      </c>
      <c r="B98" s="51">
        <f t="shared" si="2"/>
        <v>9</v>
      </c>
      <c r="C98" s="46"/>
      <c r="D98" s="46"/>
      <c r="E98" s="46"/>
      <c r="F98" s="1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>
        <v>1</v>
      </c>
      <c r="BJ98" s="46">
        <v>1</v>
      </c>
      <c r="BK98" s="46"/>
      <c r="BL98" s="46"/>
      <c r="BM98" s="46"/>
      <c r="BN98" s="46"/>
      <c r="BO98" s="46">
        <v>1</v>
      </c>
      <c r="BP98" s="46"/>
      <c r="BQ98" s="46"/>
      <c r="BR98" s="46"/>
      <c r="BS98" s="46">
        <v>1</v>
      </c>
      <c r="BT98" s="46"/>
      <c r="BU98" s="46"/>
      <c r="BV98" s="46">
        <v>1</v>
      </c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>
        <v>1</v>
      </c>
      <c r="CS98" s="46">
        <v>1</v>
      </c>
      <c r="CT98" s="46">
        <v>1</v>
      </c>
      <c r="CU98" s="46">
        <v>0</v>
      </c>
      <c r="CV98" s="46"/>
      <c r="CW98" s="46"/>
      <c r="CX98" s="46"/>
      <c r="CY98" s="46"/>
      <c r="CZ98" s="46"/>
      <c r="DA98" s="46"/>
      <c r="DB98" s="46"/>
      <c r="DC98" s="46"/>
      <c r="DD98" s="46"/>
      <c r="DE98" s="46">
        <v>1</v>
      </c>
      <c r="DF98" s="46"/>
      <c r="DG98" s="46"/>
      <c r="DH98" s="46"/>
      <c r="DI98" s="46"/>
      <c r="DJ98" s="46"/>
      <c r="DK98" s="46"/>
      <c r="DL98" s="46"/>
    </row>
    <row r="99" spans="1:116" x14ac:dyDescent="0.25">
      <c r="A99" s="85" t="s">
        <v>260</v>
      </c>
      <c r="B99" s="51">
        <f t="shared" si="2"/>
        <v>10</v>
      </c>
      <c r="C99" s="46"/>
      <c r="D99" s="46"/>
      <c r="E99" s="46"/>
      <c r="F99" s="1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>
        <v>1</v>
      </c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  <c r="CS99" s="46"/>
      <c r="CT99" s="46">
        <v>1</v>
      </c>
      <c r="CU99" s="46"/>
      <c r="CV99" s="46">
        <v>0</v>
      </c>
      <c r="CW99" s="46">
        <v>1</v>
      </c>
      <c r="CX99" s="46">
        <v>1</v>
      </c>
      <c r="CY99" s="46">
        <v>1</v>
      </c>
      <c r="CZ99" s="46">
        <v>1</v>
      </c>
      <c r="DA99" s="46">
        <v>1</v>
      </c>
      <c r="DB99" s="46">
        <v>1</v>
      </c>
      <c r="DC99" s="46"/>
      <c r="DD99" s="46">
        <v>1</v>
      </c>
      <c r="DE99" s="46">
        <v>1</v>
      </c>
      <c r="DF99" s="46"/>
      <c r="DG99" s="46"/>
      <c r="DH99" s="46"/>
      <c r="DI99" s="46"/>
      <c r="DJ99" s="46"/>
      <c r="DK99" s="46"/>
      <c r="DL99" s="46"/>
    </row>
    <row r="100" spans="1:116" x14ac:dyDescent="0.25">
      <c r="A100" s="85" t="s">
        <v>263</v>
      </c>
      <c r="B100" s="51">
        <f t="shared" si="2"/>
        <v>9</v>
      </c>
      <c r="C100" s="46"/>
      <c r="D100" s="46"/>
      <c r="E100" s="46"/>
      <c r="F100" s="1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46"/>
      <c r="BC100" s="46"/>
      <c r="BD100" s="46"/>
      <c r="BE100" s="46"/>
      <c r="BF100" s="46"/>
      <c r="BG100" s="46"/>
      <c r="BH100" s="46"/>
      <c r="BI100" s="46"/>
      <c r="BJ100" s="46"/>
      <c r="BK100" s="46"/>
      <c r="BL100" s="46"/>
      <c r="BM100" s="46"/>
      <c r="BN100" s="46"/>
      <c r="BO100" s="46"/>
      <c r="BP100" s="46"/>
      <c r="BQ100" s="46"/>
      <c r="BR100" s="46"/>
      <c r="BS100" s="46"/>
      <c r="BT100" s="46"/>
      <c r="BU100" s="46"/>
      <c r="BV100" s="46"/>
      <c r="BW100" s="46"/>
      <c r="BX100" s="46"/>
      <c r="BY100" s="46"/>
      <c r="BZ100" s="46"/>
      <c r="CA100" s="46"/>
      <c r="CB100" s="46"/>
      <c r="CC100" s="46"/>
      <c r="CD100" s="46"/>
      <c r="CE100" s="46"/>
      <c r="CF100" s="46"/>
      <c r="CG100" s="46"/>
      <c r="CH100" s="46"/>
      <c r="CI100" s="46"/>
      <c r="CJ100" s="46"/>
      <c r="CK100" s="46"/>
      <c r="CL100" s="1"/>
      <c r="CM100" s="46"/>
      <c r="CN100" s="46"/>
      <c r="CO100" s="46"/>
      <c r="CP100" s="46"/>
      <c r="CQ100" s="46"/>
      <c r="CR100" s="46"/>
      <c r="CS100" s="46"/>
      <c r="CT100" s="46">
        <v>1</v>
      </c>
      <c r="CU100" s="1"/>
      <c r="CV100" s="46">
        <v>1</v>
      </c>
      <c r="CW100" s="46">
        <v>0</v>
      </c>
      <c r="CX100" s="46">
        <v>1</v>
      </c>
      <c r="CY100" s="46">
        <v>1</v>
      </c>
      <c r="CZ100" s="46"/>
      <c r="DA100" s="46">
        <v>1</v>
      </c>
      <c r="DB100" s="46">
        <v>1</v>
      </c>
      <c r="DC100" s="46"/>
      <c r="DD100" s="46">
        <v>1</v>
      </c>
      <c r="DE100" s="46">
        <v>1</v>
      </c>
      <c r="DF100" s="46"/>
      <c r="DG100" s="46">
        <v>1</v>
      </c>
      <c r="DH100" s="46"/>
      <c r="DI100" s="46"/>
      <c r="DJ100" s="46"/>
      <c r="DK100" s="46"/>
      <c r="DL100" s="46"/>
    </row>
    <row r="101" spans="1:116" x14ac:dyDescent="0.25">
      <c r="A101" s="85" t="s">
        <v>266</v>
      </c>
      <c r="B101" s="51">
        <f t="shared" si="2"/>
        <v>9</v>
      </c>
      <c r="C101" s="46"/>
      <c r="D101" s="46"/>
      <c r="E101" s="46"/>
      <c r="F101" s="1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6"/>
      <c r="BC101" s="46"/>
      <c r="BD101" s="46"/>
      <c r="BE101" s="46"/>
      <c r="BF101" s="46"/>
      <c r="BG101" s="46"/>
      <c r="BH101" s="46"/>
      <c r="BI101" s="46"/>
      <c r="BJ101" s="46"/>
      <c r="BK101" s="46"/>
      <c r="BL101" s="46"/>
      <c r="BM101" s="46"/>
      <c r="BN101" s="46"/>
      <c r="BO101" s="46"/>
      <c r="BP101" s="46"/>
      <c r="BQ101" s="46"/>
      <c r="BR101" s="46"/>
      <c r="BS101" s="46"/>
      <c r="BT101" s="46"/>
      <c r="BU101" s="46"/>
      <c r="BV101" s="46"/>
      <c r="BW101" s="46"/>
      <c r="BX101" s="46"/>
      <c r="BY101" s="46"/>
      <c r="BZ101" s="46"/>
      <c r="CA101" s="46"/>
      <c r="CB101" s="46"/>
      <c r="CC101" s="46"/>
      <c r="CD101" s="46">
        <v>1</v>
      </c>
      <c r="CE101" s="46"/>
      <c r="CF101" s="46"/>
      <c r="CG101" s="46"/>
      <c r="CH101" s="46"/>
      <c r="CI101" s="46"/>
      <c r="CJ101" s="46"/>
      <c r="CK101" s="46"/>
      <c r="CL101" s="1"/>
      <c r="CM101" s="46"/>
      <c r="CN101" s="46"/>
      <c r="CO101" s="46"/>
      <c r="CP101" s="46"/>
      <c r="CQ101" s="46"/>
      <c r="CR101" s="46">
        <v>1</v>
      </c>
      <c r="CS101" s="46"/>
      <c r="CT101" s="46">
        <v>1</v>
      </c>
      <c r="CU101" s="1"/>
      <c r="CV101" s="46">
        <v>1</v>
      </c>
      <c r="CW101" s="46">
        <v>1</v>
      </c>
      <c r="CX101" s="46">
        <v>0</v>
      </c>
      <c r="CY101" s="46">
        <v>1</v>
      </c>
      <c r="CZ101" s="46">
        <v>1</v>
      </c>
      <c r="DA101" s="46"/>
      <c r="DB101" s="46"/>
      <c r="DC101" s="46"/>
      <c r="DD101" s="46">
        <v>1</v>
      </c>
      <c r="DE101" s="46">
        <v>1</v>
      </c>
      <c r="DF101" s="46"/>
      <c r="DG101" s="46"/>
      <c r="DH101" s="46"/>
      <c r="DI101" s="46"/>
      <c r="DJ101" s="46"/>
      <c r="DK101" s="46"/>
      <c r="DL101" s="46"/>
    </row>
    <row r="102" spans="1:116" x14ac:dyDescent="0.25">
      <c r="A102" s="85" t="s">
        <v>269</v>
      </c>
      <c r="B102" s="51">
        <f t="shared" si="2"/>
        <v>8</v>
      </c>
      <c r="C102" s="46"/>
      <c r="D102" s="46"/>
      <c r="E102" s="46"/>
      <c r="F102" s="1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46"/>
      <c r="BC102" s="46"/>
      <c r="BD102" s="46"/>
      <c r="BE102" s="46"/>
      <c r="BF102" s="46"/>
      <c r="BG102" s="46"/>
      <c r="BH102" s="46"/>
      <c r="BI102" s="46"/>
      <c r="BJ102" s="46"/>
      <c r="BK102" s="46"/>
      <c r="BL102" s="46"/>
      <c r="BM102" s="46"/>
      <c r="BN102" s="46"/>
      <c r="BO102" s="46"/>
      <c r="BP102" s="46"/>
      <c r="BQ102" s="46"/>
      <c r="BR102" s="46"/>
      <c r="BS102" s="46"/>
      <c r="BT102" s="46"/>
      <c r="BU102" s="46"/>
      <c r="BV102" s="46"/>
      <c r="BW102" s="46"/>
      <c r="BX102" s="46"/>
      <c r="BY102" s="46"/>
      <c r="BZ102" s="46"/>
      <c r="CA102" s="46"/>
      <c r="CB102" s="46"/>
      <c r="CC102" s="46"/>
      <c r="CD102" s="46"/>
      <c r="CE102" s="46"/>
      <c r="CF102" s="46"/>
      <c r="CG102" s="46"/>
      <c r="CH102" s="46"/>
      <c r="CI102" s="46"/>
      <c r="CJ102" s="46"/>
      <c r="CK102" s="46"/>
      <c r="CL102" s="1"/>
      <c r="CM102" s="46"/>
      <c r="CN102" s="46"/>
      <c r="CO102" s="46"/>
      <c r="CP102" s="46"/>
      <c r="CQ102" s="46"/>
      <c r="CR102" s="46"/>
      <c r="CS102" s="46"/>
      <c r="CT102" s="46">
        <v>1</v>
      </c>
      <c r="CU102" s="46"/>
      <c r="CV102" s="46">
        <v>1</v>
      </c>
      <c r="CW102" s="46">
        <v>1</v>
      </c>
      <c r="CX102" s="46">
        <v>1</v>
      </c>
      <c r="CY102" s="46">
        <v>0</v>
      </c>
      <c r="CZ102" s="46"/>
      <c r="DA102" s="46">
        <v>1</v>
      </c>
      <c r="DB102" s="46">
        <v>1</v>
      </c>
      <c r="DC102" s="46"/>
      <c r="DD102" s="46">
        <v>1</v>
      </c>
      <c r="DE102" s="46">
        <v>1</v>
      </c>
      <c r="DF102" s="46"/>
      <c r="DG102" s="46"/>
      <c r="DH102" s="46"/>
      <c r="DI102" s="46"/>
      <c r="DJ102" s="46"/>
      <c r="DK102" s="46"/>
      <c r="DL102" s="46"/>
    </row>
    <row r="103" spans="1:116" x14ac:dyDescent="0.25">
      <c r="A103" s="85" t="s">
        <v>272</v>
      </c>
      <c r="B103" s="51">
        <f t="shared" si="2"/>
        <v>4</v>
      </c>
      <c r="C103" s="46"/>
      <c r="D103" s="46"/>
      <c r="E103" s="46"/>
      <c r="F103" s="1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46"/>
      <c r="BK103" s="46"/>
      <c r="BL103" s="46"/>
      <c r="BM103" s="46"/>
      <c r="BN103" s="46"/>
      <c r="BO103" s="46"/>
      <c r="BP103" s="46"/>
      <c r="BQ103" s="46"/>
      <c r="BR103" s="46"/>
      <c r="BS103" s="46"/>
      <c r="BT103" s="46"/>
      <c r="BU103" s="46"/>
      <c r="BV103" s="46"/>
      <c r="BW103" s="46"/>
      <c r="BX103" s="46"/>
      <c r="BY103" s="46"/>
      <c r="BZ103" s="46"/>
      <c r="CA103" s="46"/>
      <c r="CB103" s="46"/>
      <c r="CC103" s="46"/>
      <c r="CD103" s="46">
        <v>1</v>
      </c>
      <c r="CE103" s="46"/>
      <c r="CF103" s="46"/>
      <c r="CG103" s="46"/>
      <c r="CH103" s="46"/>
      <c r="CI103" s="46"/>
      <c r="CJ103" s="46"/>
      <c r="CK103" s="46"/>
      <c r="CL103" s="46"/>
      <c r="CM103" s="46"/>
      <c r="CN103" s="46"/>
      <c r="CO103" s="46"/>
      <c r="CP103" s="46"/>
      <c r="CQ103" s="46"/>
      <c r="CR103" s="46"/>
      <c r="CS103" s="46"/>
      <c r="CT103" s="46"/>
      <c r="CU103" s="46"/>
      <c r="CV103" s="46">
        <v>1</v>
      </c>
      <c r="CW103" s="46"/>
      <c r="CX103" s="46">
        <v>1</v>
      </c>
      <c r="CY103" s="46">
        <v>1</v>
      </c>
      <c r="CZ103" s="46">
        <v>0</v>
      </c>
      <c r="DA103" s="46"/>
      <c r="DB103" s="46"/>
      <c r="DC103" s="46"/>
      <c r="DD103" s="46"/>
      <c r="DE103" s="46"/>
      <c r="DF103" s="46"/>
      <c r="DG103" s="46"/>
      <c r="DH103" s="46"/>
      <c r="DI103" s="46"/>
      <c r="DJ103" s="46"/>
      <c r="DK103" s="46"/>
      <c r="DL103" s="46"/>
    </row>
    <row r="104" spans="1:116" x14ac:dyDescent="0.25">
      <c r="A104" s="86" t="s">
        <v>275</v>
      </c>
      <c r="B104" s="51">
        <f t="shared" si="2"/>
        <v>6</v>
      </c>
      <c r="C104" s="46"/>
      <c r="D104" s="46"/>
      <c r="E104" s="46"/>
      <c r="F104" s="1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46"/>
      <c r="BC104" s="46"/>
      <c r="BD104" s="46"/>
      <c r="BE104" s="46"/>
      <c r="BF104" s="46"/>
      <c r="BG104" s="46"/>
      <c r="BH104" s="46"/>
      <c r="BI104" s="46"/>
      <c r="BJ104" s="46"/>
      <c r="BK104" s="46"/>
      <c r="BL104" s="46"/>
      <c r="BM104" s="46"/>
      <c r="BN104" s="46"/>
      <c r="BO104" s="46"/>
      <c r="BP104" s="46"/>
      <c r="BQ104" s="46"/>
      <c r="BR104" s="46"/>
      <c r="BS104" s="46"/>
      <c r="BT104" s="46"/>
      <c r="BU104" s="46"/>
      <c r="BV104" s="46"/>
      <c r="BW104" s="46"/>
      <c r="BX104" s="46"/>
      <c r="BY104" s="46"/>
      <c r="BZ104" s="46"/>
      <c r="CA104" s="46"/>
      <c r="CB104" s="46"/>
      <c r="CC104" s="46"/>
      <c r="CD104" s="46"/>
      <c r="CE104" s="46"/>
      <c r="CF104" s="46"/>
      <c r="CG104" s="46"/>
      <c r="CH104" s="46"/>
      <c r="CI104" s="46"/>
      <c r="CJ104" s="46"/>
      <c r="CK104" s="46"/>
      <c r="CL104" s="46"/>
      <c r="CM104" s="46"/>
      <c r="CN104" s="46"/>
      <c r="CO104" s="46"/>
      <c r="CP104" s="46"/>
      <c r="CQ104" s="46"/>
      <c r="CR104" s="46"/>
      <c r="CS104" s="46"/>
      <c r="CT104" s="46"/>
      <c r="CU104" s="46"/>
      <c r="CV104" s="46">
        <v>1</v>
      </c>
      <c r="CW104" s="46">
        <v>1</v>
      </c>
      <c r="CX104" s="46"/>
      <c r="CY104" s="46">
        <v>1</v>
      </c>
      <c r="CZ104" s="46"/>
      <c r="DA104" s="46">
        <v>0</v>
      </c>
      <c r="DB104" s="46">
        <v>1</v>
      </c>
      <c r="DC104" s="46">
        <v>1</v>
      </c>
      <c r="DD104" s="46">
        <v>1</v>
      </c>
      <c r="DE104" s="46"/>
      <c r="DF104" s="46"/>
      <c r="DG104" s="46"/>
      <c r="DH104" s="46"/>
      <c r="DI104" s="46"/>
      <c r="DJ104" s="46"/>
      <c r="DK104" s="46"/>
      <c r="DL104" s="46"/>
    </row>
    <row r="105" spans="1:116" x14ac:dyDescent="0.25">
      <c r="A105" s="86" t="s">
        <v>277</v>
      </c>
      <c r="B105" s="51">
        <f t="shared" si="2"/>
        <v>6</v>
      </c>
      <c r="C105" s="46"/>
      <c r="D105" s="46"/>
      <c r="E105" s="46"/>
      <c r="F105" s="47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46"/>
      <c r="BE105" s="46"/>
      <c r="BF105" s="46"/>
      <c r="BG105" s="46"/>
      <c r="BH105" s="46"/>
      <c r="BI105" s="46"/>
      <c r="BJ105" s="46"/>
      <c r="BK105" s="46"/>
      <c r="BL105" s="46"/>
      <c r="BM105" s="46"/>
      <c r="BN105" s="46"/>
      <c r="BO105" s="46"/>
      <c r="BP105" s="46"/>
      <c r="BQ105" s="46"/>
      <c r="BR105" s="46"/>
      <c r="BS105" s="46"/>
      <c r="BT105" s="46"/>
      <c r="BU105" s="46"/>
      <c r="BV105" s="46"/>
      <c r="BW105" s="46"/>
      <c r="BX105" s="46"/>
      <c r="BY105" s="46"/>
      <c r="BZ105" s="46"/>
      <c r="CA105" s="46"/>
      <c r="CB105" s="46"/>
      <c r="CC105" s="46"/>
      <c r="CD105" s="46"/>
      <c r="CE105" s="46"/>
      <c r="CF105" s="46"/>
      <c r="CG105" s="46"/>
      <c r="CH105" s="46"/>
      <c r="CI105" s="46"/>
      <c r="CJ105" s="46"/>
      <c r="CK105" s="46"/>
      <c r="CL105" s="46"/>
      <c r="CM105" s="46"/>
      <c r="CN105" s="46"/>
      <c r="CO105" s="46"/>
      <c r="CP105" s="46"/>
      <c r="CQ105" s="46"/>
      <c r="CR105" s="46"/>
      <c r="CS105" s="46"/>
      <c r="CT105" s="46"/>
      <c r="CU105" s="46"/>
      <c r="CV105" s="46">
        <v>1</v>
      </c>
      <c r="CW105" s="46">
        <v>1</v>
      </c>
      <c r="CX105" s="46"/>
      <c r="CY105" s="46">
        <v>1</v>
      </c>
      <c r="CZ105" s="46"/>
      <c r="DA105" s="46">
        <v>1</v>
      </c>
      <c r="DB105" s="46">
        <v>0</v>
      </c>
      <c r="DC105" s="46"/>
      <c r="DD105" s="46">
        <v>1</v>
      </c>
      <c r="DE105" s="46"/>
      <c r="DF105" s="46"/>
      <c r="DG105" s="46"/>
      <c r="DH105" s="46"/>
      <c r="DI105" s="46">
        <v>1</v>
      </c>
      <c r="DJ105" s="46"/>
      <c r="DK105" s="46"/>
      <c r="DL105" s="46"/>
    </row>
    <row r="106" spans="1:116" x14ac:dyDescent="0.25">
      <c r="A106" s="86" t="s">
        <v>279</v>
      </c>
      <c r="B106" s="51">
        <f t="shared" si="2"/>
        <v>4</v>
      </c>
      <c r="C106" s="46"/>
      <c r="D106" s="46"/>
      <c r="E106" s="46"/>
      <c r="F106" s="1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6"/>
      <c r="BJ106" s="46"/>
      <c r="BK106" s="46"/>
      <c r="BL106" s="46"/>
      <c r="BM106" s="46"/>
      <c r="BN106" s="46"/>
      <c r="BO106" s="46"/>
      <c r="BP106" s="46"/>
      <c r="BQ106" s="46"/>
      <c r="BR106" s="46"/>
      <c r="BS106" s="46"/>
      <c r="BT106" s="46"/>
      <c r="BU106" s="46"/>
      <c r="BV106" s="46"/>
      <c r="BW106" s="46">
        <v>1</v>
      </c>
      <c r="BX106" s="46"/>
      <c r="BY106" s="46"/>
      <c r="BZ106" s="46"/>
      <c r="CA106" s="46"/>
      <c r="CB106" s="46"/>
      <c r="CC106" s="46"/>
      <c r="CD106" s="46"/>
      <c r="CE106" s="46"/>
      <c r="CF106" s="46"/>
      <c r="CG106" s="46"/>
      <c r="CH106" s="46"/>
      <c r="CI106" s="46"/>
      <c r="CJ106" s="46"/>
      <c r="CK106" s="46"/>
      <c r="CL106" s="46"/>
      <c r="CM106" s="46"/>
      <c r="CN106" s="46"/>
      <c r="CO106" s="46"/>
      <c r="CP106" s="46"/>
      <c r="CQ106" s="46"/>
      <c r="CR106" s="46"/>
      <c r="CS106" s="46"/>
      <c r="CT106" s="46"/>
      <c r="CU106" s="46"/>
      <c r="CV106" s="46"/>
      <c r="CW106" s="46"/>
      <c r="CX106" s="46"/>
      <c r="CY106" s="46"/>
      <c r="CZ106" s="46"/>
      <c r="DA106" s="1">
        <v>1</v>
      </c>
      <c r="DB106" s="46">
        <v>1</v>
      </c>
      <c r="DC106" s="46">
        <v>0</v>
      </c>
      <c r="DD106" s="46"/>
      <c r="DE106" s="46"/>
      <c r="DF106" s="46">
        <v>1</v>
      </c>
      <c r="DG106" s="46"/>
      <c r="DH106" s="46"/>
      <c r="DI106" s="46"/>
      <c r="DJ106" s="46"/>
      <c r="DK106" s="46"/>
      <c r="DL106" s="46"/>
    </row>
    <row r="107" spans="1:116" x14ac:dyDescent="0.25">
      <c r="A107" s="86" t="s">
        <v>282</v>
      </c>
      <c r="B107" s="51">
        <f t="shared" si="2"/>
        <v>8</v>
      </c>
      <c r="C107" s="46"/>
      <c r="D107" s="46"/>
      <c r="E107" s="46"/>
      <c r="F107" s="1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46"/>
      <c r="BK107" s="46"/>
      <c r="BL107" s="46"/>
      <c r="BM107" s="46"/>
      <c r="BN107" s="46"/>
      <c r="BO107" s="46"/>
      <c r="BP107" s="46"/>
      <c r="BQ107" s="46"/>
      <c r="BR107" s="46"/>
      <c r="BS107" s="46"/>
      <c r="BT107" s="46"/>
      <c r="BU107" s="46"/>
      <c r="BV107" s="46"/>
      <c r="BW107" s="46"/>
      <c r="BX107" s="46"/>
      <c r="BY107" s="46"/>
      <c r="BZ107" s="46"/>
      <c r="CA107" s="46"/>
      <c r="CB107" s="46"/>
      <c r="CC107" s="46"/>
      <c r="CD107" s="46"/>
      <c r="CE107" s="46"/>
      <c r="CF107" s="46"/>
      <c r="CG107" s="46"/>
      <c r="CH107" s="46"/>
      <c r="CI107" s="46"/>
      <c r="CJ107" s="46"/>
      <c r="CK107" s="46"/>
      <c r="CL107" s="46"/>
      <c r="CM107" s="46"/>
      <c r="CN107" s="46"/>
      <c r="CO107" s="46"/>
      <c r="CP107" s="46"/>
      <c r="CQ107" s="46"/>
      <c r="CR107" s="46"/>
      <c r="CS107" s="46"/>
      <c r="CT107" s="46">
        <v>1</v>
      </c>
      <c r="CU107" s="46"/>
      <c r="CV107" s="46">
        <v>1</v>
      </c>
      <c r="CW107" s="46">
        <v>1</v>
      </c>
      <c r="CX107" s="46">
        <v>1</v>
      </c>
      <c r="CY107" s="46">
        <v>1</v>
      </c>
      <c r="CZ107" s="46"/>
      <c r="DA107" s="1">
        <v>1</v>
      </c>
      <c r="DB107" s="46">
        <v>1</v>
      </c>
      <c r="DC107" s="46"/>
      <c r="DD107" s="46">
        <v>0</v>
      </c>
      <c r="DE107" s="46">
        <v>1</v>
      </c>
      <c r="DF107" s="46"/>
      <c r="DG107" s="46"/>
      <c r="DH107" s="46"/>
      <c r="DI107" s="46"/>
      <c r="DJ107" s="46"/>
      <c r="DK107" s="46"/>
      <c r="DL107" s="46"/>
    </row>
    <row r="108" spans="1:116" x14ac:dyDescent="0.25">
      <c r="A108" s="86" t="s">
        <v>284</v>
      </c>
      <c r="B108" s="51">
        <f t="shared" si="2"/>
        <v>12</v>
      </c>
      <c r="C108" s="46"/>
      <c r="D108" s="46"/>
      <c r="E108" s="46"/>
      <c r="F108" s="1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  <c r="BJ108" s="46"/>
      <c r="BK108" s="46"/>
      <c r="BL108" s="46"/>
      <c r="BM108" s="46"/>
      <c r="BN108" s="46"/>
      <c r="BO108" s="46"/>
      <c r="BP108" s="46"/>
      <c r="BQ108" s="46"/>
      <c r="BR108" s="46"/>
      <c r="BS108" s="46">
        <v>1</v>
      </c>
      <c r="BT108" s="46"/>
      <c r="BU108" s="46"/>
      <c r="BV108" s="46">
        <v>1</v>
      </c>
      <c r="BW108" s="46"/>
      <c r="BX108" s="46"/>
      <c r="BY108" s="46"/>
      <c r="BZ108" s="46"/>
      <c r="CA108" s="46"/>
      <c r="CB108" s="46"/>
      <c r="CC108" s="46"/>
      <c r="CD108" s="46"/>
      <c r="CE108" s="46">
        <v>1</v>
      </c>
      <c r="CF108" s="46">
        <v>1</v>
      </c>
      <c r="CG108" s="46"/>
      <c r="CH108" s="46"/>
      <c r="CI108" s="46"/>
      <c r="CJ108" s="46"/>
      <c r="CK108" s="46"/>
      <c r="CL108" s="46"/>
      <c r="CM108" s="46"/>
      <c r="CN108" s="46"/>
      <c r="CO108" s="46"/>
      <c r="CP108" s="46"/>
      <c r="CQ108" s="46"/>
      <c r="CR108" s="46">
        <v>1</v>
      </c>
      <c r="CS108" s="46">
        <v>1</v>
      </c>
      <c r="CT108" s="46">
        <v>1</v>
      </c>
      <c r="CU108" s="46">
        <v>1</v>
      </c>
      <c r="CV108" s="46">
        <v>1</v>
      </c>
      <c r="CW108" s="46"/>
      <c r="CX108" s="46">
        <v>1</v>
      </c>
      <c r="CY108" s="46">
        <v>1</v>
      </c>
      <c r="CZ108" s="46"/>
      <c r="DA108" s="46"/>
      <c r="DB108" s="46"/>
      <c r="DC108" s="46"/>
      <c r="DD108" s="46">
        <v>1</v>
      </c>
      <c r="DE108" s="46">
        <v>0</v>
      </c>
      <c r="DF108" s="46"/>
      <c r="DG108" s="46"/>
      <c r="DH108" s="46"/>
      <c r="DI108" s="46"/>
      <c r="DJ108" s="46"/>
      <c r="DK108" s="46"/>
      <c r="DL108" s="46"/>
    </row>
    <row r="109" spans="1:116" x14ac:dyDescent="0.25">
      <c r="A109" s="87" t="s">
        <v>287</v>
      </c>
      <c r="B109" s="51">
        <f t="shared" si="2"/>
        <v>4</v>
      </c>
      <c r="C109" s="46"/>
      <c r="D109" s="46"/>
      <c r="E109" s="46"/>
      <c r="F109" s="1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  <c r="BJ109" s="46"/>
      <c r="BK109" s="46"/>
      <c r="BL109" s="46"/>
      <c r="BM109" s="46"/>
      <c r="BN109" s="46"/>
      <c r="BO109" s="46"/>
      <c r="BP109" s="46"/>
      <c r="BQ109" s="46"/>
      <c r="BR109" s="46"/>
      <c r="BS109" s="46"/>
      <c r="BT109" s="46"/>
      <c r="BU109" s="46"/>
      <c r="BV109" s="46"/>
      <c r="BW109" s="46">
        <v>1</v>
      </c>
      <c r="BX109" s="46"/>
      <c r="BY109" s="46"/>
      <c r="BZ109" s="46"/>
      <c r="CA109" s="46"/>
      <c r="CB109" s="46"/>
      <c r="CC109" s="46"/>
      <c r="CD109" s="46"/>
      <c r="CE109" s="46"/>
      <c r="CF109" s="46"/>
      <c r="CG109" s="46"/>
      <c r="CH109" s="46"/>
      <c r="CI109" s="46"/>
      <c r="CJ109" s="46"/>
      <c r="CK109" s="46"/>
      <c r="CL109" s="46"/>
      <c r="CM109" s="46"/>
      <c r="CN109" s="46"/>
      <c r="CO109" s="46"/>
      <c r="CP109" s="46"/>
      <c r="CQ109" s="46"/>
      <c r="CR109" s="46"/>
      <c r="CS109" s="46"/>
      <c r="CT109" s="46"/>
      <c r="CU109" s="46"/>
      <c r="CV109" s="46"/>
      <c r="CW109" s="46"/>
      <c r="CX109" s="46"/>
      <c r="CY109" s="46"/>
      <c r="CZ109" s="46"/>
      <c r="DA109" s="46">
        <v>1</v>
      </c>
      <c r="DB109" s="46"/>
      <c r="DC109" s="46">
        <v>1</v>
      </c>
      <c r="DD109" s="46"/>
      <c r="DE109" s="46"/>
      <c r="DF109" s="46">
        <v>0</v>
      </c>
      <c r="DG109" s="46"/>
      <c r="DH109" s="46">
        <v>1</v>
      </c>
      <c r="DI109" s="46"/>
      <c r="DJ109" s="46"/>
      <c r="DK109" s="46"/>
      <c r="DL109" s="46"/>
    </row>
    <row r="110" spans="1:116" x14ac:dyDescent="0.25">
      <c r="A110" s="87" t="s">
        <v>290</v>
      </c>
      <c r="B110" s="51">
        <f t="shared" si="2"/>
        <v>4</v>
      </c>
      <c r="C110" s="46"/>
      <c r="D110" s="46"/>
      <c r="E110" s="46"/>
      <c r="F110" s="1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  <c r="BI110" s="46"/>
      <c r="BJ110" s="46"/>
      <c r="BK110" s="46"/>
      <c r="BL110" s="46"/>
      <c r="BM110" s="46"/>
      <c r="BN110" s="46"/>
      <c r="BO110" s="46"/>
      <c r="BP110" s="46"/>
      <c r="BQ110" s="46"/>
      <c r="BR110" s="46"/>
      <c r="BS110" s="46"/>
      <c r="BT110" s="46"/>
      <c r="BU110" s="46"/>
      <c r="BV110" s="46"/>
      <c r="BW110" s="46"/>
      <c r="BX110" s="46"/>
      <c r="BY110" s="46"/>
      <c r="BZ110" s="46"/>
      <c r="CA110" s="46"/>
      <c r="CB110" s="46"/>
      <c r="CC110" s="46"/>
      <c r="CD110" s="46"/>
      <c r="CE110" s="46"/>
      <c r="CF110" s="46"/>
      <c r="CG110" s="46"/>
      <c r="CH110" s="46"/>
      <c r="CI110" s="46"/>
      <c r="CJ110" s="46"/>
      <c r="CK110" s="46"/>
      <c r="CL110" s="46"/>
      <c r="CM110" s="46"/>
      <c r="CN110" s="46"/>
      <c r="CO110" s="46"/>
      <c r="CP110" s="46"/>
      <c r="CQ110" s="46"/>
      <c r="CR110" s="46"/>
      <c r="CS110" s="46"/>
      <c r="CT110" s="46"/>
      <c r="CU110" s="46"/>
      <c r="CV110" s="46"/>
      <c r="CW110" s="46">
        <v>1</v>
      </c>
      <c r="CX110" s="46"/>
      <c r="CY110" s="46"/>
      <c r="CZ110" s="46"/>
      <c r="DA110" s="46"/>
      <c r="DB110" s="46"/>
      <c r="DC110" s="46"/>
      <c r="DD110" s="46"/>
      <c r="DE110" s="46"/>
      <c r="DF110" s="46"/>
      <c r="DG110" s="46">
        <v>0</v>
      </c>
      <c r="DH110" s="46">
        <v>1</v>
      </c>
      <c r="DI110" s="46">
        <v>1</v>
      </c>
      <c r="DJ110" s="46"/>
      <c r="DK110" s="46"/>
      <c r="DL110" s="46">
        <v>1</v>
      </c>
    </row>
    <row r="111" spans="1:116" x14ac:dyDescent="0.25">
      <c r="A111" s="87" t="s">
        <v>292</v>
      </c>
      <c r="B111" s="51">
        <f t="shared" si="2"/>
        <v>3</v>
      </c>
      <c r="C111" s="46"/>
      <c r="D111" s="46"/>
      <c r="E111" s="46"/>
      <c r="F111" s="47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  <c r="BJ111" s="46"/>
      <c r="BK111" s="46"/>
      <c r="BL111" s="46"/>
      <c r="BM111" s="46"/>
      <c r="BN111" s="46"/>
      <c r="BO111" s="46"/>
      <c r="BP111" s="46"/>
      <c r="BQ111" s="46"/>
      <c r="BR111" s="46"/>
      <c r="BS111" s="46"/>
      <c r="BT111" s="46"/>
      <c r="BU111" s="46"/>
      <c r="BV111" s="46"/>
      <c r="BW111" s="46"/>
      <c r="BX111" s="46"/>
      <c r="BY111" s="46"/>
      <c r="BZ111" s="46"/>
      <c r="CA111" s="46"/>
      <c r="CB111" s="46"/>
      <c r="CC111" s="46"/>
      <c r="CD111" s="46"/>
      <c r="CE111" s="46"/>
      <c r="CF111" s="46"/>
      <c r="CG111" s="46"/>
      <c r="CH111" s="46"/>
      <c r="CI111" s="46"/>
      <c r="CJ111" s="46"/>
      <c r="CK111" s="46"/>
      <c r="CL111" s="46"/>
      <c r="CM111" s="46"/>
      <c r="CN111" s="46"/>
      <c r="CO111" s="46"/>
      <c r="CP111" s="46"/>
      <c r="CQ111" s="46"/>
      <c r="CR111" s="46"/>
      <c r="CS111" s="46"/>
      <c r="CT111" s="46"/>
      <c r="CU111" s="46"/>
      <c r="CV111" s="46"/>
      <c r="CW111" s="46"/>
      <c r="CX111" s="46"/>
      <c r="CY111" s="46"/>
      <c r="CZ111" s="46"/>
      <c r="DA111" s="46"/>
      <c r="DB111" s="46"/>
      <c r="DC111" s="46">
        <v>1</v>
      </c>
      <c r="DD111" s="46"/>
      <c r="DE111" s="46"/>
      <c r="DF111" s="46">
        <v>1</v>
      </c>
      <c r="DG111" s="46"/>
      <c r="DH111" s="46">
        <v>0</v>
      </c>
      <c r="DI111" s="46">
        <v>1</v>
      </c>
      <c r="DJ111" s="46"/>
      <c r="DK111" s="46"/>
      <c r="DL111" s="46"/>
    </row>
    <row r="112" spans="1:116" x14ac:dyDescent="0.25">
      <c r="A112" s="87" t="s">
        <v>294</v>
      </c>
      <c r="B112" s="51">
        <f t="shared" si="2"/>
        <v>3</v>
      </c>
      <c r="C112" s="46"/>
      <c r="D112" s="46"/>
      <c r="E112" s="46"/>
      <c r="F112" s="1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6"/>
      <c r="BD112" s="46"/>
      <c r="BE112" s="46"/>
      <c r="BF112" s="46"/>
      <c r="BG112" s="46"/>
      <c r="BH112" s="46"/>
      <c r="BI112" s="46"/>
      <c r="BJ112" s="46"/>
      <c r="BK112" s="46"/>
      <c r="BL112" s="46"/>
      <c r="BM112" s="46"/>
      <c r="BN112" s="46"/>
      <c r="BO112" s="46"/>
      <c r="BP112" s="46"/>
      <c r="BQ112" s="46"/>
      <c r="BR112" s="46"/>
      <c r="BS112" s="46"/>
      <c r="BT112" s="46"/>
      <c r="BU112" s="46"/>
      <c r="BV112" s="46"/>
      <c r="BW112" s="46"/>
      <c r="BX112" s="46"/>
      <c r="BY112" s="46"/>
      <c r="BZ112" s="46"/>
      <c r="CA112" s="46"/>
      <c r="CB112" s="46"/>
      <c r="CC112" s="46"/>
      <c r="CD112" s="46"/>
      <c r="CE112" s="46"/>
      <c r="CF112" s="46"/>
      <c r="CG112" s="46"/>
      <c r="CH112" s="46"/>
      <c r="CI112" s="46"/>
      <c r="CJ112" s="46"/>
      <c r="CK112" s="46"/>
      <c r="CL112" s="46"/>
      <c r="CM112" s="46"/>
      <c r="CN112" s="46"/>
      <c r="CO112" s="46"/>
      <c r="CP112" s="46"/>
      <c r="CQ112" s="46"/>
      <c r="CR112" s="46"/>
      <c r="CS112" s="46"/>
      <c r="CT112" s="46"/>
      <c r="CU112" s="46"/>
      <c r="CV112" s="46"/>
      <c r="CW112" s="46"/>
      <c r="CX112" s="46"/>
      <c r="CY112" s="46"/>
      <c r="CZ112" s="46"/>
      <c r="DA112" s="46"/>
      <c r="DB112" s="46"/>
      <c r="DC112" s="46">
        <v>1</v>
      </c>
      <c r="DD112" s="46"/>
      <c r="DE112" s="46"/>
      <c r="DF112" s="46"/>
      <c r="DG112" s="46">
        <v>1</v>
      </c>
      <c r="DH112" s="46">
        <v>1</v>
      </c>
      <c r="DI112" s="46">
        <v>0</v>
      </c>
      <c r="DJ112" s="46"/>
      <c r="DK112" s="46"/>
      <c r="DL112" s="46"/>
    </row>
    <row r="113" spans="1:116" x14ac:dyDescent="0.25">
      <c r="A113" s="87" t="s">
        <v>297</v>
      </c>
      <c r="B113" s="51">
        <f t="shared" si="2"/>
        <v>2</v>
      </c>
      <c r="C113" s="46"/>
      <c r="D113" s="46"/>
      <c r="E113" s="46"/>
      <c r="F113" s="49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46"/>
      <c r="BC113" s="46"/>
      <c r="BD113" s="46"/>
      <c r="BE113" s="46"/>
      <c r="BF113" s="46"/>
      <c r="BG113" s="46"/>
      <c r="BH113" s="46"/>
      <c r="BI113" s="46"/>
      <c r="BJ113" s="46"/>
      <c r="BK113" s="46"/>
      <c r="BL113" s="46"/>
      <c r="BM113" s="46"/>
      <c r="BN113" s="46"/>
      <c r="BO113" s="46"/>
      <c r="BP113" s="46"/>
      <c r="BQ113" s="46"/>
      <c r="BR113" s="46"/>
      <c r="BS113" s="46"/>
      <c r="BT113" s="46"/>
      <c r="BU113" s="46"/>
      <c r="BV113" s="46"/>
      <c r="BW113" s="46"/>
      <c r="BX113" s="46"/>
      <c r="BY113" s="46"/>
      <c r="BZ113" s="46"/>
      <c r="CA113" s="46"/>
      <c r="CB113" s="46"/>
      <c r="CC113" s="46"/>
      <c r="CD113" s="46"/>
      <c r="CE113" s="46"/>
      <c r="CF113" s="46"/>
      <c r="CG113" s="46"/>
      <c r="CH113" s="46"/>
      <c r="CI113" s="46"/>
      <c r="CJ113" s="46"/>
      <c r="CK113" s="46"/>
      <c r="CL113" s="46"/>
      <c r="CM113" s="46"/>
      <c r="CN113" s="46"/>
      <c r="CO113" s="46"/>
      <c r="CP113" s="46"/>
      <c r="CQ113" s="46"/>
      <c r="CR113" s="46"/>
      <c r="CS113" s="46"/>
      <c r="CT113" s="46"/>
      <c r="CU113" s="46"/>
      <c r="CV113" s="46"/>
      <c r="CW113" s="46"/>
      <c r="CX113" s="46"/>
      <c r="CY113" s="46"/>
      <c r="CZ113" s="46"/>
      <c r="DA113" s="46"/>
      <c r="DB113" s="46"/>
      <c r="DC113" s="46"/>
      <c r="DD113" s="46"/>
      <c r="DE113" s="46"/>
      <c r="DF113" s="46"/>
      <c r="DG113" s="46"/>
      <c r="DH113" s="46"/>
      <c r="DI113" s="46"/>
      <c r="DJ113" s="46">
        <v>0</v>
      </c>
      <c r="DK113" s="46">
        <v>1</v>
      </c>
      <c r="DL113" s="46">
        <v>1</v>
      </c>
    </row>
    <row r="114" spans="1:116" x14ac:dyDescent="0.25">
      <c r="A114" s="87" t="s">
        <v>299</v>
      </c>
      <c r="B114" s="51">
        <f t="shared" si="2"/>
        <v>3</v>
      </c>
      <c r="C114" s="46">
        <v>1</v>
      </c>
      <c r="D114" s="46"/>
      <c r="E114" s="46"/>
      <c r="F114" s="1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46"/>
      <c r="BC114" s="46"/>
      <c r="BD114" s="46"/>
      <c r="BE114" s="46"/>
      <c r="BF114" s="46"/>
      <c r="BG114" s="46"/>
      <c r="BH114" s="46"/>
      <c r="BI114" s="46"/>
      <c r="BJ114" s="46"/>
      <c r="BK114" s="46"/>
      <c r="BL114" s="46"/>
      <c r="BM114" s="46"/>
      <c r="BN114" s="46"/>
      <c r="BO114" s="46"/>
      <c r="BP114" s="46"/>
      <c r="BQ114" s="46"/>
      <c r="BR114" s="46"/>
      <c r="BS114" s="46"/>
      <c r="BT114" s="46"/>
      <c r="BU114" s="46"/>
      <c r="BV114" s="46"/>
      <c r="BW114" s="46"/>
      <c r="BX114" s="46"/>
      <c r="BY114" s="46"/>
      <c r="BZ114" s="46"/>
      <c r="CA114" s="46"/>
      <c r="CB114" s="46"/>
      <c r="CC114" s="46"/>
      <c r="CD114" s="46"/>
      <c r="CE114" s="46"/>
      <c r="CF114" s="46"/>
      <c r="CG114" s="46"/>
      <c r="CH114" s="46"/>
      <c r="CI114" s="46"/>
      <c r="CJ114" s="46"/>
      <c r="CK114" s="46"/>
      <c r="CL114" s="46"/>
      <c r="CM114" s="46"/>
      <c r="CN114" s="46"/>
      <c r="CO114" s="46"/>
      <c r="CP114" s="46"/>
      <c r="CQ114" s="46"/>
      <c r="CR114" s="46"/>
      <c r="CS114" s="46"/>
      <c r="CT114" s="46"/>
      <c r="CU114" s="46"/>
      <c r="CV114" s="46"/>
      <c r="CW114" s="46"/>
      <c r="CX114" s="46"/>
      <c r="CY114" s="46"/>
      <c r="CZ114" s="46"/>
      <c r="DA114" s="46"/>
      <c r="DB114" s="46"/>
      <c r="DC114" s="46"/>
      <c r="DD114" s="46"/>
      <c r="DE114" s="46"/>
      <c r="DF114" s="46"/>
      <c r="DG114" s="46"/>
      <c r="DH114" s="46"/>
      <c r="DI114" s="46"/>
      <c r="DJ114" s="46">
        <v>1</v>
      </c>
      <c r="DK114" s="46">
        <v>0</v>
      </c>
      <c r="DL114" s="46">
        <v>1</v>
      </c>
    </row>
    <row r="115" spans="1:116" x14ac:dyDescent="0.25">
      <c r="A115" s="87" t="s">
        <v>301</v>
      </c>
      <c r="B115" s="51">
        <f t="shared" si="2"/>
        <v>3</v>
      </c>
      <c r="C115" s="46"/>
      <c r="D115" s="46"/>
      <c r="E115" s="46"/>
      <c r="F115" s="1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  <c r="BI115" s="46"/>
      <c r="BJ115" s="46"/>
      <c r="BK115" s="46"/>
      <c r="BL115" s="46"/>
      <c r="BM115" s="46"/>
      <c r="BN115" s="46"/>
      <c r="BO115" s="46"/>
      <c r="BP115" s="46"/>
      <c r="BQ115" s="46"/>
      <c r="BR115" s="46"/>
      <c r="BS115" s="46"/>
      <c r="BT115" s="46"/>
      <c r="BU115" s="46"/>
      <c r="BV115" s="46"/>
      <c r="BW115" s="46"/>
      <c r="BX115" s="46"/>
      <c r="BY115" s="46"/>
      <c r="BZ115" s="46"/>
      <c r="CA115" s="46"/>
      <c r="CB115" s="46"/>
      <c r="CC115" s="46"/>
      <c r="CD115" s="46"/>
      <c r="CE115" s="46"/>
      <c r="CF115" s="46"/>
      <c r="CG115" s="46"/>
      <c r="CH115" s="46"/>
      <c r="CI115" s="46"/>
      <c r="CJ115" s="46"/>
      <c r="CK115" s="46"/>
      <c r="CL115" s="46"/>
      <c r="CM115" s="46"/>
      <c r="CN115" s="46"/>
      <c r="CO115" s="46"/>
      <c r="CP115" s="46"/>
      <c r="CQ115" s="46"/>
      <c r="CR115" s="46"/>
      <c r="CS115" s="46"/>
      <c r="CT115" s="46"/>
      <c r="CU115" s="46"/>
      <c r="CV115" s="46"/>
      <c r="CW115" s="46"/>
      <c r="CX115" s="46"/>
      <c r="CY115" s="46"/>
      <c r="CZ115" s="46"/>
      <c r="DA115" s="46"/>
      <c r="DB115" s="46"/>
      <c r="DC115" s="46"/>
      <c r="DD115" s="46"/>
      <c r="DE115" s="46"/>
      <c r="DF115" s="46"/>
      <c r="DG115" s="46">
        <v>1</v>
      </c>
      <c r="DH115" s="46"/>
      <c r="DI115" s="46"/>
      <c r="DJ115" s="46">
        <v>1</v>
      </c>
      <c r="DK115" s="46">
        <v>1</v>
      </c>
      <c r="DL115" s="46">
        <v>0</v>
      </c>
    </row>
    <row r="116" spans="1:116" x14ac:dyDescent="0.25">
      <c r="B116" s="58" cm="1">
        <f t="array" ref="B116">SUMPRODUCT(--(B2:B115&lt;&gt;0))</f>
        <v>114</v>
      </c>
      <c r="F116" s="26"/>
    </row>
    <row r="117" spans="1:116" x14ac:dyDescent="0.25">
      <c r="F117" s="26"/>
    </row>
    <row r="118" spans="1:116" x14ac:dyDescent="0.25">
      <c r="F118" s="26"/>
    </row>
    <row r="119" spans="1:116" x14ac:dyDescent="0.25">
      <c r="F119" s="26"/>
    </row>
    <row r="120" spans="1:116" x14ac:dyDescent="0.25">
      <c r="F120" s="26"/>
    </row>
  </sheetData>
  <conditionalFormatting sqref="B1:B1048576">
    <cfRule type="cellIs" dxfId="2" priority="2" operator="greaterThan">
      <formula>0</formula>
    </cfRule>
  </conditionalFormatting>
  <conditionalFormatting sqref="B1:BC1 BE1:XFD1 A1:A54 B2:XFD55 A56:XFD1048576">
    <cfRule type="cellIs" dxfId="1" priority="1" operator="equal">
      <formula>"1*"</formula>
    </cfRule>
  </conditionalFormatting>
  <conditionalFormatting sqref="C2:DL115">
    <cfRule type="cellIs" dxfId="0" priority="3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pane ySplit="1" topLeftCell="A2" activePane="bottomLeft" state="frozen"/>
    </sheetView>
  </sheetViews>
  <sheetFormatPr defaultRowHeight="15"/>
  <cols>
    <col min="1" max="1" width="34" customWidth="1"/>
    <col min="2" max="3" width="22" customWidth="1"/>
  </cols>
  <sheetData>
    <row r="1">
      <c r="A1" s="132" t="s">
        <v>321</v>
      </c>
      <c r="B1" s="132" t="s">
        <v>322</v>
      </c>
      <c r="C1" s="132" t="s">
        <v>323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7FFBE78E7734A4795AE916F70E9CB53" ma:contentTypeVersion="3" ma:contentTypeDescription="Crear nuevo documento." ma:contentTypeScope="" ma:versionID="4dc7f48d877e8c8f15699c89519f22fb">
  <xsd:schema xmlns:xsd="http://www.w3.org/2001/XMLSchema" xmlns:xs="http://www.w3.org/2001/XMLSchema" xmlns:p="http://schemas.microsoft.com/office/2006/metadata/properties" xmlns:ns2="4c796a92-5f2e-45d2-b637-46e3b1fac03d" targetNamespace="http://schemas.microsoft.com/office/2006/metadata/properties" ma:root="true" ma:fieldsID="75a4f89bb2b8d6b1ef540a99dd615ed0" ns2:_="">
    <xsd:import namespace="4c796a92-5f2e-45d2-b637-46e3b1fac0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796a92-5f2e-45d2-b637-46e3b1fac0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93B5D3-72CD-40B9-977C-E474BFBA594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4E5BCB9-F37D-47AF-BBA8-45D8DE5FE0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52E793-9539-4A8D-9A50-454A34A048B3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4c796a92-5f2e-45d2-b637-46e3b1fac03d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CD1BCF5-8BD6-4E0F-B933-E74D7279E710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4c796a92-5f2e-45d2-b637-46e3b1fac03d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NODOS</vt:lpstr>
      <vt:lpstr>REDES</vt:lpstr>
      <vt:lpstr>CORREDORES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Sellene Patricia Ballestas Maranto</cp:lastModifiedBy>
  <cp:revision/>
  <dcterms:created xsi:type="dcterms:W3CDTF">2026-02-18T20:48:57Z</dcterms:created>
  <dcterms:modified xsi:type="dcterms:W3CDTF">2026-05-30T15:17:10Z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0x010100A7FFBE78E7734A4795AE916F70E9CB53</vt:lpwstr>
  </property>
</Properties>
</file>